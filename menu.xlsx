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5%" sheetId="1" state="visible" r:id="rId1"/>
    <sheet name="цены 2025" sheetId="2" state="visible" r:id="rId2"/>
    <sheet name="15%" sheetId="3" state="visible" r:id="rId3"/>
    <sheet name="20%" sheetId="4" state="visible" r:id="rId4"/>
    <sheet name="10%" sheetId="5" state="visible" r:id="rId5"/>
  </sheets>
  <calcPr refMode="R1C1"/>
</workbook>
</file>

<file path=xl/sharedStrings.xml><?xml version="1.0" encoding="utf-8"?>
<sst xmlns="http://schemas.openxmlformats.org/spreadsheetml/2006/main" count="394" uniqueCount="394">
  <si>
    <t xml:space="preserve">Меню </t>
  </si>
  <si>
    <t xml:space="preserve">выход, гр</t>
  </si>
  <si>
    <t xml:space="preserve">выход на персону, гр*мл</t>
  </si>
  <si>
    <t>завтрак</t>
  </si>
  <si>
    <t xml:space="preserve">Каша овсянная (подача в мармите для первого )</t>
  </si>
  <si>
    <t xml:space="preserve">Блинчики с маслом и топингами на выбор ( джем, мед, ягоды, паста, сметана)</t>
  </si>
  <si>
    <t xml:space="preserve">Яйцо отварное </t>
  </si>
  <si>
    <t xml:space="preserve">1 шт</t>
  </si>
  <si>
    <t xml:space="preserve">Сосиски </t>
  </si>
  <si>
    <t xml:space="preserve">Сырники с лимонной рикоттой, голубикой, сметаной и мятой</t>
  </si>
  <si>
    <t xml:space="preserve">Сырники с морковью и сметаной</t>
  </si>
  <si>
    <t xml:space="preserve">Творожная запеканка с соусом маракуйя</t>
  </si>
  <si>
    <t xml:space="preserve">Вафли с с ягодами</t>
  </si>
  <si>
    <t xml:space="preserve">Оладушки со сметаной и ягодами</t>
  </si>
  <si>
    <t xml:space="preserve">Батончики из злаков с орехами и мёдом</t>
  </si>
  <si>
    <t xml:space="preserve">Гранола с сухофруктами, орехами и йогуртом</t>
  </si>
  <si>
    <t xml:space="preserve">Бриттл с арахисом </t>
  </si>
  <si>
    <t xml:space="preserve">Омлет с сыром чеддер </t>
  </si>
  <si>
    <t xml:space="preserve">Омлет с беконом </t>
  </si>
  <si>
    <t>канапе</t>
  </si>
  <si>
    <t xml:space="preserve">Рисовый спонж с икрой летучей рыбы и крем-чиз из копченого угря</t>
  </si>
  <si>
    <t xml:space="preserve">Угорь на рисовом спонже с унаги соусом</t>
  </si>
  <si>
    <t xml:space="preserve">Тартар из лосося на крутоне</t>
  </si>
  <si>
    <t xml:space="preserve">Слабосолёная сёмга с мини спаржей и крем-чизом</t>
  </si>
  <si>
    <t xml:space="preserve">Тунец с чукой</t>
  </si>
  <si>
    <t xml:space="preserve">Террин из морепродуктов с сыром филадельфия</t>
  </si>
  <si>
    <t xml:space="preserve">Драник с угрём и творожным унаги соусом</t>
  </si>
  <si>
    <t xml:space="preserve">Жареный банан с устричным соусом и крабовым муссом </t>
  </si>
  <si>
    <t xml:space="preserve">Гребешки с манго и соусом из лобстеров</t>
  </si>
  <si>
    <t xml:space="preserve">Фишбол с соусом бешамель</t>
  </si>
  <si>
    <t xml:space="preserve">Мини блинчики с икрой</t>
  </si>
  <si>
    <t xml:space="preserve">Мини блинчики с угрём и икрой</t>
  </si>
  <si>
    <t xml:space="preserve">Спринг ролл с белой рыбой, кинзой и паназиатским соусом</t>
  </si>
  <si>
    <t xml:space="preserve">Спринг ролл с утиной грудкой и овощами</t>
  </si>
  <si>
    <t xml:space="preserve">Спринг ролл с овощами и телятиной </t>
  </si>
  <si>
    <t xml:space="preserve">Крутоны с тартаром из креветок и тапенадой из вяленых томатов </t>
  </si>
  <si>
    <t xml:space="preserve">Рулетик из рофтбифа с артишоками и вяленными томатами</t>
  </si>
  <si>
    <t xml:space="preserve">Рулетик из пармской ветчины с яблоком и сыром дорблю</t>
  </si>
  <si>
    <t xml:space="preserve">Парма с дыней</t>
  </si>
  <si>
    <t xml:space="preserve">Печёный красный перец с пармезаном, пармской ветчиной </t>
  </si>
  <si>
    <t xml:space="preserve">Канапе с бататом, горгонзолой и прошутто </t>
  </si>
  <si>
    <t xml:space="preserve">Тартар из говядины с крутоном</t>
  </si>
  <si>
    <t xml:space="preserve">Митбол из говядины с паназиатским соусом</t>
  </si>
  <si>
    <t xml:space="preserve">Митбол из утки с облепиховым соусом</t>
  </si>
  <si>
    <t xml:space="preserve">Рулетики из копченой утки и малиной</t>
  </si>
  <si>
    <t xml:space="preserve">Утка с манго, голубикой и мятой</t>
  </si>
  <si>
    <t xml:space="preserve">Митбол из индейки с томатной сальсой </t>
  </si>
  <si>
    <t xml:space="preserve">Крудите с сырным соусом</t>
  </si>
  <si>
    <t xml:space="preserve">Сыр Бри с вяленной клюквой и фисташкой</t>
  </si>
  <si>
    <t xml:space="preserve">Фалафель с хумусом из фасоли</t>
  </si>
  <si>
    <t xml:space="preserve">Канапе с бататом, фенхелем и помидорами черри</t>
  </si>
  <si>
    <t xml:space="preserve">Рулетики из баклажанов, сыром Дор Блю и артишоками</t>
  </si>
  <si>
    <t xml:space="preserve">Рулетики из цуккини, творожным муссом и кедровым орехом</t>
  </si>
  <si>
    <t xml:space="preserve">Томаты черри с сыром моцарелла, соусом песто и бальзамиком</t>
  </si>
  <si>
    <t xml:space="preserve">Перлини с ежевикой и малиной</t>
  </si>
  <si>
    <t xml:space="preserve">Сырные шарики</t>
  </si>
  <si>
    <t xml:space="preserve">Рулетики из маринованной свёклы с брынзой, шпинатом и лепестками миндаля</t>
  </si>
  <si>
    <t xml:space="preserve">Чечевичный террин с трюфелем, кедровыми орехами и листиком шалфея</t>
  </si>
  <si>
    <t xml:space="preserve">Икра баклажанная с базиликовым спонжнем и микрозеленью</t>
  </si>
  <si>
    <t xml:space="preserve">Баклажаны гриль с брынзой и вялеными черри</t>
  </si>
  <si>
    <t xml:space="preserve">Тофу террияки с пряным манго </t>
  </si>
  <si>
    <t xml:space="preserve">Мини блинчики с малиной</t>
  </si>
  <si>
    <t xml:space="preserve">Мини блинчики с ежевикой</t>
  </si>
  <si>
    <t xml:space="preserve">Профитроль с индейкой </t>
  </si>
  <si>
    <t xml:space="preserve">тарталетки из тонкого теста</t>
  </si>
  <si>
    <t xml:space="preserve">Фило с тартаром из лосося в апельсиновом соусе</t>
  </si>
  <si>
    <t xml:space="preserve">Фило с креветками и гуакамоле</t>
  </si>
  <si>
    <t xml:space="preserve">Фило с свёклой, кускусом, фетой и кедровыми орехами</t>
  </si>
  <si>
    <t xml:space="preserve">Фило с вялеными томатами и салатным миксом</t>
  </si>
  <si>
    <t xml:space="preserve">Вонтон с тартаром из тунца с вялеными черри и киноа</t>
  </si>
  <si>
    <t xml:space="preserve">Вонтон с тартаром из говядины и каперсами</t>
  </si>
  <si>
    <t xml:space="preserve">Вонтон с говядиной, грибным жульеном и артишоками</t>
  </si>
  <si>
    <t>такос</t>
  </si>
  <si>
    <t xml:space="preserve">С лососем, крем-чизом вялеными томатами</t>
  </si>
  <si>
    <t xml:space="preserve">С вырезкой и нутом</t>
  </si>
  <si>
    <t xml:space="preserve">С уткой конфи и овощами</t>
  </si>
  <si>
    <t xml:space="preserve">С овощами в тайском соусе</t>
  </si>
  <si>
    <t xml:space="preserve">С авокадо и кумато</t>
  </si>
  <si>
    <t xml:space="preserve">С фруктами</t>
  </si>
  <si>
    <t xml:space="preserve">треугольники из тонкого теста фило и кисло-сладким соусом</t>
  </si>
  <si>
    <t xml:space="preserve">С курицей и овощами</t>
  </si>
  <si>
    <t xml:space="preserve">С бараниной </t>
  </si>
  <si>
    <t xml:space="preserve">С зеленью</t>
  </si>
  <si>
    <t xml:space="preserve">С зеленью и домашей риккотой</t>
  </si>
  <si>
    <t xml:space="preserve">С овощами и шпинатом </t>
  </si>
  <si>
    <t>вонтон</t>
  </si>
  <si>
    <t xml:space="preserve">С креветками, цыплёнком и овощами</t>
  </si>
  <si>
    <t xml:space="preserve">С уткой, имбирём и каштанами</t>
  </si>
  <si>
    <t xml:space="preserve">С грибами, водорослями и китайским гребешком</t>
  </si>
  <si>
    <t xml:space="preserve">С овощами, шпинатом и перцем чили</t>
  </si>
  <si>
    <t>мини-брускетта</t>
  </si>
  <si>
    <t xml:space="preserve">С подкопчённым лососем и артишоками</t>
  </si>
  <si>
    <t xml:space="preserve">С слабосолёной сёмгой и авокадо</t>
  </si>
  <si>
    <t xml:space="preserve">С мясом краба, гуакамоле и чёрными креветками</t>
  </si>
  <si>
    <t xml:space="preserve">С креветками, шпинатом и кукурузой</t>
  </si>
  <si>
    <t xml:space="preserve">С пармской ветчиной, спаржей и овощной тапенадой</t>
  </si>
  <si>
    <t xml:space="preserve">С пармской ветчиной и грушей на гриле</t>
  </si>
  <si>
    <t xml:space="preserve">С ростбифом, спаржей и рукколой</t>
  </si>
  <si>
    <t xml:space="preserve">С ростбифом и перцем на гриле</t>
  </si>
  <si>
    <t xml:space="preserve">С индейкой и вялеными томатами</t>
  </si>
  <si>
    <t xml:space="preserve">С моцареллой, черри и зелёным базиликом</t>
  </si>
  <si>
    <t xml:space="preserve">С страчателлой и томатами</t>
  </si>
  <si>
    <t xml:space="preserve">С баклажаном, брынзой и гранатом</t>
  </si>
  <si>
    <t xml:space="preserve">С овощами гриль и соусом тапенада</t>
  </si>
  <si>
    <t xml:space="preserve">С тыквой, вялеными томатами и тимьяном</t>
  </si>
  <si>
    <t xml:space="preserve">С жареными грибами и творожным муссом</t>
  </si>
  <si>
    <t>мини-круассан</t>
  </si>
  <si>
    <t xml:space="preserve">С копчёным лососем и шпинатом</t>
  </si>
  <si>
    <t xml:space="preserve">С копчёной форелью, спаржей, салатом корн</t>
  </si>
  <si>
    <t xml:space="preserve">С ростбифом и вялеными томатами</t>
  </si>
  <si>
    <t xml:space="preserve">С пастрами и соленым огурцом</t>
  </si>
  <si>
    <t xml:space="preserve">С индейкой, томатами и брынзой </t>
  </si>
  <si>
    <t xml:space="preserve">С куриной грудкой гриль, листьями салата и соусом Цезарь</t>
  </si>
  <si>
    <t xml:space="preserve">С сыром и зеленью</t>
  </si>
  <si>
    <t xml:space="preserve">С моцареллой, томатами, базиликом соус Песто и бальзамиком</t>
  </si>
  <si>
    <t xml:space="preserve">С черри, спаржей и крем-чизом</t>
  </si>
  <si>
    <t xml:space="preserve">Вегетарианский с сыром тофу</t>
  </si>
  <si>
    <t>вафли</t>
  </si>
  <si>
    <t xml:space="preserve">С слабосолёной сёмгой, омлетом и корн салатом</t>
  </si>
  <si>
    <t xml:space="preserve">С копчёным лососем, рукколой и крем-чизом с соусом песто</t>
  </si>
  <si>
    <t xml:space="preserve">Пастрами, шпинатом и вялеными черри</t>
  </si>
  <si>
    <t xml:space="preserve">С грудкой индейкой, вялеными томатами и крем-чизом</t>
  </si>
  <si>
    <t>сандвичи</t>
  </si>
  <si>
    <t xml:space="preserve">На злаковом хлебе с тунцом и овощами и зеленью</t>
  </si>
  <si>
    <t xml:space="preserve">На злаковом хлебе с копченым лососем и овощами и зеленью</t>
  </si>
  <si>
    <t xml:space="preserve">На тостовом пшеничном хлебе и ростбифом, горчичным соусом </t>
  </si>
  <si>
    <t xml:space="preserve">На тостовом пшеничном хлебе с индейкой </t>
  </si>
  <si>
    <t>чиабатта</t>
  </si>
  <si>
    <t xml:space="preserve">Тонкая - с маслинами, копчёным лососем, соусом песто и оливками</t>
  </si>
  <si>
    <t xml:space="preserve">Тонкая - с тунцом, каперсами и майонезным соусом</t>
  </si>
  <si>
    <t xml:space="preserve">Тонкая - с маслинами с кебабом из телятины и салатным миксом и соусом тысяча островов</t>
  </si>
  <si>
    <t xml:space="preserve">Тонкая - с копчёной курицей и грибным сливочным соусом</t>
  </si>
  <si>
    <t>закуски</t>
  </si>
  <si>
    <t xml:space="preserve">Сёмга слабосоленая с каперсами, масляная рыба, креветки в паприке </t>
  </si>
  <si>
    <t xml:space="preserve">Сёмга маринованная с шафраном, тунец в кунжутной панировке, палтус горячего копчения</t>
  </si>
  <si>
    <t xml:space="preserve">Плата с итальянскими колбасками, салями, пепперони, фруктами, антипасти и соленьями</t>
  </si>
  <si>
    <t xml:space="preserve">Мясное ассорти (язык, ростбиф, буженина, индейка) с соусами</t>
  </si>
  <si>
    <t xml:space="preserve">Сырное ассорти (Эдам, Тильзитер, Ламбер, Гауда) с орехами, мёдом, и фруктами </t>
  </si>
  <si>
    <t xml:space="preserve">Сырное ассорти из итальянских сыров  с орехами, мёдом, крекером и фруктами </t>
  </si>
  <si>
    <t xml:space="preserve">Набор сухофруктов и орехов ( чернослив с крупной курагой, фаршированный грецким орехом, инжир с финиками без косточки, крупный миндаль, гриссини, домашнее печенье)</t>
  </si>
  <si>
    <t xml:space="preserve">Овощи крудите  (сельдерей, морковь, мини кукуруза, перец, черри) и сырный соус</t>
  </si>
  <si>
    <t xml:space="preserve">Ассорти сладких чипсов из фруктов и овощей (апельсин, лимон, грейпфрут, яблоко)</t>
  </si>
  <si>
    <t>мини-салаты</t>
  </si>
  <si>
    <t xml:space="preserve">Салат Цезарь с птицей и перепелинным яйцом</t>
  </si>
  <si>
    <t xml:space="preserve">Салат Греческий  с пряными травами</t>
  </si>
  <si>
    <t xml:space="preserve">Мини-салат с лососем и печёными томатами</t>
  </si>
  <si>
    <t xml:space="preserve">Мини-салат с куриной грудкой, кускусом и овощами с паназиатским соусом</t>
  </si>
  <si>
    <t xml:space="preserve">Мини-салат с моцареллой и черри</t>
  </si>
  <si>
    <t xml:space="preserve">Мини-салат с клубникой и страчателлой</t>
  </si>
  <si>
    <t xml:space="preserve">Мини-салат с свёклой, моцареллой, салатным миксом, соусом песто и кедровыми орешками</t>
  </si>
  <si>
    <t>салаты</t>
  </si>
  <si>
    <t xml:space="preserve">С лососем, свежей брюссельской капустой, эстрагоном, рукколой, черри гриль и апельсиновым дрессингом</t>
  </si>
  <si>
    <t xml:space="preserve">Салат с креветками, авокадо, рукколой и лимонной заправкой</t>
  </si>
  <si>
    <t xml:space="preserve">Микс салатных листьев с ростбифом, овощами гриль и горчичной заправкой</t>
  </si>
  <si>
    <t xml:space="preserve">Ростбиф с орзо, миксом зелени, кукурузой гриль, томлёной сливой и горчичным соусом</t>
  </si>
  <si>
    <t xml:space="preserve">Утиная грудка с нектарином гриль, черными томатами, кумкватами и кешью</t>
  </si>
  <si>
    <t xml:space="preserve">Салат с куриной грудкой гриль, цуккини, спаржей, томатами черри, салатом романо и соусом песто</t>
  </si>
  <si>
    <t xml:space="preserve">Салат паста с куриным филе, зеленью, сыром пармезан и соусом песто</t>
  </si>
  <si>
    <t xml:space="preserve">Цыплёнок гриль с кускусом, жареными грибами и салатными листьями</t>
  </si>
  <si>
    <t xml:space="preserve">Микс салата с томатами черри, рукколой, моцареллой и бальзамиком</t>
  </si>
  <si>
    <t xml:space="preserve">Салат Бакинский из свежих овощей с зеленью и деревенской сметаной</t>
  </si>
  <si>
    <t xml:space="preserve">Салат Греческий с таджарскими маслинами</t>
  </si>
  <si>
    <t xml:space="preserve">Салатный микс с печёной свёклой, брынзой, черри и кедровыми орешками</t>
  </si>
  <si>
    <t xml:space="preserve">Микс салатных листьев с артишоками, вялеными томатами, авокадо и лимонным песто</t>
  </si>
  <si>
    <t xml:space="preserve">Салат из печёных овощей (перец, баклажан, томат, пророщенный нут, кинза, соус дзадзики)</t>
  </si>
  <si>
    <t xml:space="preserve">Печёная тыква в кунжутном масле, руккола и шпинат с хрустящей маринованной свёклой и сыром тофу</t>
  </si>
  <si>
    <t xml:space="preserve">Салат из печёной свёклы, брынзы, с виноградом томлёным в бальзамическом соусе, кешью и шпинатом</t>
  </si>
  <si>
    <t xml:space="preserve">Салат с фенхелем, авокадо, киноа, тофу гриль, тартаром из ананаса, клубники и мятным соусом</t>
  </si>
  <si>
    <t xml:space="preserve">Салат с клубникой, лимонной рикоттой и рукколой</t>
  </si>
  <si>
    <t xml:space="preserve">закуски к пиву</t>
  </si>
  <si>
    <t xml:space="preserve">Кольца кальмара</t>
  </si>
  <si>
    <t xml:space="preserve">Сыр в кунжутной панировке</t>
  </si>
  <si>
    <t xml:space="preserve">Куриные крылья с соусом барбекю</t>
  </si>
  <si>
    <t xml:space="preserve">супы в шотах</t>
  </si>
  <si>
    <t xml:space="preserve">Гаспачо кукурузный</t>
  </si>
  <si>
    <t xml:space="preserve">Гаспачо томатный</t>
  </si>
  <si>
    <t xml:space="preserve">Гаспачо тыквенный</t>
  </si>
  <si>
    <t xml:space="preserve">Гаспачо грибной</t>
  </si>
  <si>
    <t>суп</t>
  </si>
  <si>
    <t xml:space="preserve">Уха по-купечески</t>
  </si>
  <si>
    <t xml:space="preserve">Борщ с белыми грибами и чесночными пампушками </t>
  </si>
  <si>
    <t xml:space="preserve">Щи с квашеной капустой</t>
  </si>
  <si>
    <t>Рассольник</t>
  </si>
  <si>
    <t>Солянка</t>
  </si>
  <si>
    <t xml:space="preserve">Тыквенный суп</t>
  </si>
  <si>
    <t xml:space="preserve">Грибной суп </t>
  </si>
  <si>
    <t xml:space="preserve">Грибной суп с трюфельным маслом и микро зеленью </t>
  </si>
  <si>
    <t xml:space="preserve">Куриный суп с гренками</t>
  </si>
  <si>
    <t xml:space="preserve">горячие закуски</t>
  </si>
  <si>
    <t xml:space="preserve">Бабагануш с зеленью и зернами граната </t>
  </si>
  <si>
    <t xml:space="preserve">Соте из домашних кабачков с укропом</t>
  </si>
  <si>
    <t xml:space="preserve">Блинчики с куринным жульеном ( 2 блинчика в порции )</t>
  </si>
  <si>
    <t xml:space="preserve">горячее </t>
  </si>
  <si>
    <t xml:space="preserve">Филе тунца в панировки из перца</t>
  </si>
  <si>
    <t xml:space="preserve">Филе дорады на гриле в травах с йогуртовым соусом</t>
  </si>
  <si>
    <t xml:space="preserve">Белая рыба в рисовой бумаге с пряными травами и печёными черри</t>
  </si>
  <si>
    <t xml:space="preserve">Шашлычок из лосося в апельсиновом маринаде</t>
  </si>
  <si>
    <t xml:space="preserve">Филе лосося на шпажке в соусе терияки </t>
  </si>
  <si>
    <t xml:space="preserve">Креветка на шпажке с лепестками миндаля</t>
  </si>
  <si>
    <t xml:space="preserve">Шашлычки из креветок с апельсином гриль</t>
  </si>
  <si>
    <t xml:space="preserve">Шашлычки из креветок с ананасом</t>
  </si>
  <si>
    <t xml:space="preserve">Гребешки на гриле</t>
  </si>
  <si>
    <t xml:space="preserve">Бараньи рёбрышки и розмарином и соусом демиглас </t>
  </si>
  <si>
    <t xml:space="preserve">Тендерлойн с острым соусом и спаржей</t>
  </si>
  <si>
    <t xml:space="preserve">Ростбиф по-Аргентински </t>
  </si>
  <si>
    <t xml:space="preserve">Мини - бургер </t>
  </si>
  <si>
    <t xml:space="preserve">Гамбургер с куриной котлетой, томатами и сыром</t>
  </si>
  <si>
    <t xml:space="preserve">Утиная грудка маринованная в ягодном соусе</t>
  </si>
  <si>
    <t xml:space="preserve">Шашлычок из индейки</t>
  </si>
  <si>
    <t xml:space="preserve">Куриный шашлык с овощами</t>
  </si>
  <si>
    <t xml:space="preserve">Айрачини рисовые шарики</t>
  </si>
  <si>
    <t xml:space="preserve">Шашлычок из беби картофеля и брюссельской капусты с соусом мацони с эстрагоном</t>
  </si>
  <si>
    <t xml:space="preserve">Шашлычок из овощей</t>
  </si>
  <si>
    <t xml:space="preserve">Картофель по-деревенски</t>
  </si>
  <si>
    <t xml:space="preserve">детское </t>
  </si>
  <si>
    <t xml:space="preserve">Фиш энд Чипс</t>
  </si>
  <si>
    <t>Хот-дог</t>
  </si>
  <si>
    <t xml:space="preserve">Котлета куриная с картофельным пюре</t>
  </si>
  <si>
    <t xml:space="preserve">Бургер с куриной котлетой</t>
  </si>
  <si>
    <t xml:space="preserve">Наггетсы с соусом</t>
  </si>
  <si>
    <t xml:space="preserve">Мини- бургер </t>
  </si>
  <si>
    <t xml:space="preserve">Мини -пиццы</t>
  </si>
  <si>
    <t xml:space="preserve">Картофель фри</t>
  </si>
  <si>
    <t xml:space="preserve">Картофельные беби на шпажке</t>
  </si>
  <si>
    <t xml:space="preserve">Кукуруза гриль</t>
  </si>
  <si>
    <t xml:space="preserve">Макароны с сыром</t>
  </si>
  <si>
    <t xml:space="preserve">Картофельные смайлы</t>
  </si>
  <si>
    <t xml:space="preserve">банкетное горячее меню</t>
  </si>
  <si>
    <t xml:space="preserve">Тунец с киноа, спаржей и канкасе из болгарского перци</t>
  </si>
  <si>
    <t xml:space="preserve">Чилийский сибас на гриле с картофельным пюре и сельдереем</t>
  </si>
  <si>
    <t xml:space="preserve">Филе белой рыбы, маринованное в устричном соусе со спаржей и салатом корн</t>
  </si>
  <si>
    <t xml:space="preserve">Филе из сёмги в апельсиновом маринаде с ризотто, брокколи и салатом корн</t>
  </si>
  <si>
    <t xml:space="preserve">Ягнёнок на косточке с перечным соусом, беби картофелем с розмарином и тимьяном</t>
  </si>
  <si>
    <t xml:space="preserve">Ростбиф с брусничным соусом и печёным беби картофелем</t>
  </si>
  <si>
    <t xml:space="preserve">Филе миньон с мятным овощным кускусом и вишнёвым соусом</t>
  </si>
  <si>
    <t xml:space="preserve">Телятина маринованная в красном вине, с запечённым молодым картофелем и тимьяном</t>
  </si>
  <si>
    <t xml:space="preserve">Рулет из кролика, с запечённым беби картофелем и мини морковью</t>
  </si>
  <si>
    <t xml:space="preserve">Кролик с сезонными грибами и трюфельным маслом</t>
  </si>
  <si>
    <t xml:space="preserve">Цыплёнок барбекю, маринованный в травах и цедре апельсина со стручковой фасолью</t>
  </si>
  <si>
    <t xml:space="preserve">Филе цыплёнка гриль с сыром рикотта, базиликом, бланшированными томатами и баклажанами</t>
  </si>
  <si>
    <t xml:space="preserve">Овощи гриль (болгарский перец, кукуруза, спаржа, цуккини, брокколи и черри) со сливочным соусом</t>
  </si>
  <si>
    <t xml:space="preserve">Овощи гриль (болгарский перец, цветная капуста, баклажан, томат) со сливочным соусом</t>
  </si>
  <si>
    <t xml:space="preserve">Беби картофель с розмарином</t>
  </si>
  <si>
    <t xml:space="preserve">Драники с картофелем и цуккини</t>
  </si>
  <si>
    <t xml:space="preserve">карвинг горячее</t>
  </si>
  <si>
    <t xml:space="preserve">Осётр печёный с травами, лемонграсом, фенхелем и соусом Шампань</t>
  </si>
  <si>
    <t xml:space="preserve">Карп фаршированный с гречкой и белыми грибами</t>
  </si>
  <si>
    <t xml:space="preserve">Пряная нога барашка с травами и соусом демиглас</t>
  </si>
  <si>
    <t xml:space="preserve">Рулька свиная с травами, чесноком и жареной капустой</t>
  </si>
  <si>
    <t xml:space="preserve">Гусь жареный, вымоченый в красном вине с вишней и печёными яблоками</t>
  </si>
  <si>
    <t xml:space="preserve">Утка печёная с грушей и пряными специями и карамелизированной капустой</t>
  </si>
  <si>
    <t>Цыплята</t>
  </si>
  <si>
    <t xml:space="preserve">Индейка с овощами и трюфельным маслом</t>
  </si>
  <si>
    <t xml:space="preserve">Индейка, фаршированная рисом и сухофруктами</t>
  </si>
  <si>
    <t xml:space="preserve">Паста с креветками, шпинатом и сливочным соусом</t>
  </si>
  <si>
    <t xml:space="preserve">Паэлья с морепродуктами (испанскими мидиями, тигровыми креветками, мини-осьминожками, раками , кальмарами) и разноцветным сладким перцем, луком-порей, чесноком, корнем сельдерея и кенийской фасолью</t>
  </si>
  <si>
    <t xml:space="preserve">Паста Болоньезе</t>
  </si>
  <si>
    <t xml:space="preserve">Фруктовое мороженое с жидким азотом     </t>
  </si>
  <si>
    <t>ВВQ</t>
  </si>
  <si>
    <t xml:space="preserve">Палтус на гриле</t>
  </si>
  <si>
    <t xml:space="preserve">Белая рыба на гриле со сливочным соусом Том-Ям</t>
  </si>
  <si>
    <t xml:space="preserve">Шашлык из свинины</t>
  </si>
  <si>
    <t xml:space="preserve">Баранина туша</t>
  </si>
  <si>
    <t xml:space="preserve">Вырезка говяжья</t>
  </si>
  <si>
    <t xml:space="preserve">Цыплята в соусе тандури</t>
  </si>
  <si>
    <t xml:space="preserve">Колбаски ассорти</t>
  </si>
  <si>
    <t xml:space="preserve">Ананас, яблоко, тыква, банан гриль</t>
  </si>
  <si>
    <t xml:space="preserve">Печёные овощи (картофель, свёкла, тыква, грибы)</t>
  </si>
  <si>
    <t xml:space="preserve">Овощи гриль (болгарский перец, баклажан, цуккини, томаты) со сливочным соусом </t>
  </si>
  <si>
    <t xml:space="preserve">допы ВВQ</t>
  </si>
  <si>
    <t xml:space="preserve">Салат овощной</t>
  </si>
  <si>
    <t xml:space="preserve">Соусы в ассортименте к мясу</t>
  </si>
  <si>
    <t xml:space="preserve">Зелень в ассортименте</t>
  </si>
  <si>
    <t>хлеб</t>
  </si>
  <si>
    <t>Гриссини</t>
  </si>
  <si>
    <t xml:space="preserve">Хлебный набор (хлебцы, багет, крекер, гриссини)</t>
  </si>
  <si>
    <t xml:space="preserve">Фокачча с соусом Песто</t>
  </si>
  <si>
    <t xml:space="preserve">Фокачча с травами и специями</t>
  </si>
  <si>
    <t>пиццы</t>
  </si>
  <si>
    <t xml:space="preserve">Пиццас  сёмгой, кенийской фасолью и тимьяном (филе сёмги, кенийская фасоль, сливочный соус, сыр моцарелла, итальянские травы)</t>
  </si>
  <si>
    <t xml:space="preserve">Пицца с пармской ветчиной, персиками, рукколой и мягким сыром</t>
  </si>
  <si>
    <t xml:space="preserve">Пицца мясная (бекон, ветчина, пепперони, мясо индейки, томатный соус, сыр моцарелла, итальянские травы, маслины, оливки)</t>
  </si>
  <si>
    <t xml:space="preserve">Пицца пепперони (колбаска пепперони, томатный соус, сыр моцарелла, маслины)</t>
  </si>
  <si>
    <t xml:space="preserve">Пицца ветчина - грибы (ветчина из индейки, шампиньоны, томатный соус, сыр моцарелла, итальянские травы)</t>
  </si>
  <si>
    <t xml:space="preserve">Пицца грибная (томатный соус, творожный сыр, сыр моцарелла, шампиньоны, вешенки, итальянские травы)</t>
  </si>
  <si>
    <t xml:space="preserve">Пицца Капричоза (артишоки, печёный перец, томаты черри, вяленые томаты, маслины)</t>
  </si>
  <si>
    <t xml:space="preserve">Пицца Салями (салями, томатный соус, сыр моцарелла, маслины)</t>
  </si>
  <si>
    <t xml:space="preserve">Пицца Маргарита (томатный соус, сыр моцарелла, свежие томаты итальянские травы)</t>
  </si>
  <si>
    <t xml:space="preserve">Пицца сырная (дорблю, пармезан, грюйер, моцарелла в рассоле, томатный соус, итальянские травы)</t>
  </si>
  <si>
    <t xml:space="preserve">Пицца моцарелла с песто и рукколой (моцарелла в рассоле, соус песто, томатный соус, руккола, итальянские травы, миндаль)</t>
  </si>
  <si>
    <t>выпечка</t>
  </si>
  <si>
    <t xml:space="preserve">Пирожки в ассортименте (с мясом, с капустой, с грибами)</t>
  </si>
  <si>
    <t xml:space="preserve">Улитка с изюмом, корицей и тростниковым сахаром</t>
  </si>
  <si>
    <t xml:space="preserve">Круассан с миндалём </t>
  </si>
  <si>
    <t xml:space="preserve">Круассан с нутеллой </t>
  </si>
  <si>
    <t xml:space="preserve">Круассан с малиной </t>
  </si>
  <si>
    <t xml:space="preserve">Дениш с цитрусами</t>
  </si>
  <si>
    <t xml:space="preserve">Дениш с вишней</t>
  </si>
  <si>
    <t xml:space="preserve">Кукисы шоколадные</t>
  </si>
  <si>
    <t xml:space="preserve">Кукисы овсяные с изюмом (мини)</t>
  </si>
  <si>
    <t xml:space="preserve">Грушевый кекс</t>
  </si>
  <si>
    <t xml:space="preserve">Шоколадные кексы</t>
  </si>
  <si>
    <t xml:space="preserve">Банановый хлеб</t>
  </si>
  <si>
    <t xml:space="preserve">Апельсиновый кекс</t>
  </si>
  <si>
    <t xml:space="preserve">Лимонный кекс</t>
  </si>
  <si>
    <t xml:space="preserve">Рождественский кекс</t>
  </si>
  <si>
    <t xml:space="preserve">Миндально-морковный хлеб с карамелью</t>
  </si>
  <si>
    <t xml:space="preserve">Капкейк  с фотопечатью</t>
  </si>
  <si>
    <t xml:space="preserve">десерт банкетный </t>
  </si>
  <si>
    <t xml:space="preserve">Красный бархат с клубникой </t>
  </si>
  <si>
    <t>десерт</t>
  </si>
  <si>
    <t>Медовик</t>
  </si>
  <si>
    <t>Наполеон</t>
  </si>
  <si>
    <t xml:space="preserve">Клубника в шоколаде</t>
  </si>
  <si>
    <t xml:space="preserve">Панакота маракуйя</t>
  </si>
  <si>
    <t xml:space="preserve">Красный бархат</t>
  </si>
  <si>
    <t xml:space="preserve">Шоколадный брауни с кокосовым заварным кремом</t>
  </si>
  <si>
    <t xml:space="preserve">Взбитые ягоды с кусочками банана, семенами чиа, кокосовым молоком, кокосовой стружкой и финиками</t>
  </si>
  <si>
    <t>Тирамису</t>
  </si>
  <si>
    <t xml:space="preserve">Брауни с пеканом</t>
  </si>
  <si>
    <t xml:space="preserve">Шоколадный брауни с дорблю</t>
  </si>
  <si>
    <t xml:space="preserve">Трубочки с варёной сгущёнкой</t>
  </si>
  <si>
    <t xml:space="preserve">Ягодная тарелка  </t>
  </si>
  <si>
    <t xml:space="preserve">Ягоды на шпажке и свежей мятой</t>
  </si>
  <si>
    <t xml:space="preserve">Фрукты и ягоды в конверте </t>
  </si>
  <si>
    <t xml:space="preserve">Фрукты на шпажке</t>
  </si>
  <si>
    <t xml:space="preserve">Фруктовое ассорти (ананас свежий, киви, белый и красный виноград, яблоки, груша, апельсины, бананы)</t>
  </si>
  <si>
    <t>торт</t>
  </si>
  <si>
    <t xml:space="preserve">Корж: </t>
  </si>
  <si>
    <t xml:space="preserve">Классический бисквитный</t>
  </si>
  <si>
    <t>Шоколадный</t>
  </si>
  <si>
    <t>Брауни</t>
  </si>
  <si>
    <t>Медовый</t>
  </si>
  <si>
    <t xml:space="preserve">Наполеон </t>
  </si>
  <si>
    <t>Банановый</t>
  </si>
  <si>
    <t>Фисташковый</t>
  </si>
  <si>
    <t>Апельсиновый</t>
  </si>
  <si>
    <t>Кокосовый</t>
  </si>
  <si>
    <t xml:space="preserve">Творожный чизкейк</t>
  </si>
  <si>
    <t xml:space="preserve">Птичье Молоко</t>
  </si>
  <si>
    <t xml:space="preserve">Безе </t>
  </si>
  <si>
    <t>Крем:</t>
  </si>
  <si>
    <t>Творожный</t>
  </si>
  <si>
    <t>Масляный</t>
  </si>
  <si>
    <t xml:space="preserve">Сырный </t>
  </si>
  <si>
    <t>Заварной</t>
  </si>
  <si>
    <t xml:space="preserve">Ягодный </t>
  </si>
  <si>
    <t xml:space="preserve">Суфле ( ягодный, манго, йогуртовый )</t>
  </si>
  <si>
    <t>Миндальный</t>
  </si>
  <si>
    <t xml:space="preserve">Патисьер </t>
  </si>
  <si>
    <t xml:space="preserve">Маскарпоне </t>
  </si>
  <si>
    <t>Украшение:</t>
  </si>
  <si>
    <t>Ягоды</t>
  </si>
  <si>
    <t>Фрукты</t>
  </si>
  <si>
    <t>Цветы</t>
  </si>
  <si>
    <t>Пряники</t>
  </si>
  <si>
    <t>Фотопечать</t>
  </si>
  <si>
    <t xml:space="preserve">Фигурки из мастики</t>
  </si>
  <si>
    <t xml:space="preserve">Фигурка зверей на торт</t>
  </si>
  <si>
    <t>фреш</t>
  </si>
  <si>
    <t>Морковь</t>
  </si>
  <si>
    <t>Апельсин</t>
  </si>
  <si>
    <t>Грейпфрут</t>
  </si>
  <si>
    <t>Ананас</t>
  </si>
  <si>
    <t xml:space="preserve">Смузи манго-груша-банан</t>
  </si>
  <si>
    <t xml:space="preserve">прохладительные напитки</t>
  </si>
  <si>
    <t xml:space="preserve">Королевская артезианская вода </t>
  </si>
  <si>
    <t xml:space="preserve">Королевская артезианская вода в стекле Миа</t>
  </si>
  <si>
    <t xml:space="preserve">Кисель (красная смородина, яблочный, вишнёвый, овсяный, сливовый)</t>
  </si>
  <si>
    <t xml:space="preserve">Лимонад домашний (мята лимон, облепиха, вишня, клюква, клубника)</t>
  </si>
  <si>
    <t xml:space="preserve">Морс ягодный </t>
  </si>
  <si>
    <t xml:space="preserve">Морс (ягодный, вишнёвый, смородиновый)</t>
  </si>
  <si>
    <t xml:space="preserve">Лимонад (вишней, облепихой, цитрусами, клюквой, клубничный)</t>
  </si>
  <si>
    <t xml:space="preserve">Компот </t>
  </si>
  <si>
    <t xml:space="preserve">горячие напитки</t>
  </si>
  <si>
    <t xml:space="preserve">Чай в ассортименте </t>
  </si>
  <si>
    <t xml:space="preserve">Кофе Nespresso</t>
  </si>
  <si>
    <t xml:space="preserve">Кофе Американо</t>
  </si>
  <si>
    <t xml:space="preserve">выход б/а в мл.:</t>
  </si>
  <si>
    <t xml:space="preserve">выход в гр.:</t>
  </si>
  <si>
    <t xml:space="preserve">Стоимость меню </t>
  </si>
  <si>
    <t xml:space="preserve">Дополнительные затраты </t>
  </si>
  <si>
    <t xml:space="preserve">Персонал (менеджер , официант , повар)</t>
  </si>
  <si>
    <t xml:space="preserve">Стол коктейльный (текстиль)</t>
  </si>
  <si>
    <t xml:space="preserve">Доставка (оборудования, продуктов), возврат на склад оборудования</t>
  </si>
  <si>
    <t>Итог:</t>
  </si>
  <si>
    <t xml:space="preserve">Стоимость на персону:</t>
  </si>
  <si>
    <t xml:space="preserve">SmiLe Event &amp; Catering</t>
  </si>
  <si>
    <t>info@slcatering.ru</t>
  </si>
  <si>
    <t xml:space="preserve">Smirnova Lena 8 (926) 141-25-18</t>
  </si>
  <si>
    <t>#smileeventcatering</t>
  </si>
  <si>
    <t>цена</t>
  </si>
  <si>
    <t xml:space="preserve">Сыр Бри с вяленой клюквой и фисташкой</t>
  </si>
  <si>
    <t xml:space="preserve">Филе белой рыбы в банановых листьях, маринованное в устричном соусе со спаржей и салатом корн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</si>
</sst>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2.000000"/>
      <color theme="1"/>
      <name val="Calibri"/>
      <scheme val="minor"/>
    </font>
    <font>
      <u/>
      <sz val="12.000000"/>
      <color theme="10"/>
      <name val="Calibri"/>
      <scheme val="minor"/>
    </font>
    <font>
      <u/>
      <sz val="12.000000"/>
      <color theme="11"/>
      <name val="Calibri"/>
      <scheme val="minor"/>
    </font>
    <font>
      <sz val="12.000000"/>
      <name val="Calibri"/>
      <scheme val="minor"/>
    </font>
    <font>
      <b/>
      <sz val="16.000000"/>
      <name val="Calibri"/>
      <scheme val="minor"/>
    </font>
    <font>
      <b/>
      <sz val="12.000000"/>
      <name val="Calibri"/>
      <scheme val="minor"/>
    </font>
    <font>
      <b/>
      <sz val="12.000000"/>
      <name val="Candara"/>
    </font>
    <font>
      <b/>
      <sz val="18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4.000000"/>
      <color theme="1"/>
      <name val="Candara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</fills>
  <borders count="3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1227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1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</cellStyleXfs>
  <cellXfs count="18">
    <xf fontId="0" fillId="0" borderId="0" numFmtId="0" xfId="0"/>
    <xf fontId="3" fillId="0" borderId="0" numFmtId="0" xfId="0" applyFont="1" applyAlignment="1">
      <alignment vertical="center"/>
    </xf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4" fillId="2" borderId="1" numFmtId="0" xfId="0" applyFont="1" applyFill="1" applyBorder="1" applyAlignment="1">
      <alignment vertical="center" wrapText="1"/>
    </xf>
    <xf fontId="5" fillId="2" borderId="2" numFmtId="0" xfId="0" applyFont="1" applyFill="1" applyBorder="1" applyAlignment="1">
      <alignment horizontal="center" vertical="center" wrapText="1"/>
    </xf>
    <xf fontId="6" fillId="2" borderId="2" numFmtId="0" xfId="0" applyFont="1" applyFill="1" applyBorder="1" applyAlignment="1">
      <alignment horizontal="center" vertical="center" wrapText="1"/>
    </xf>
    <xf fontId="7" fillId="0" borderId="0" numFmtId="0" xfId="0" applyFont="1" applyAlignment="1">
      <alignment vertical="center" wrapText="1"/>
    </xf>
    <xf fontId="0" fillId="0" borderId="0" numFmtId="0" xfId="0" applyAlignment="1">
      <alignment horizontal="center" vertical="center"/>
    </xf>
    <xf fontId="0" fillId="0" borderId="0" numFmtId="1" xfId="0" applyNumberFormat="1" applyAlignment="1">
      <alignment horizontal="center" vertical="center"/>
    </xf>
    <xf fontId="0" fillId="0" borderId="0" numFmtId="0" xfId="0" applyAlignment="1">
      <alignment horizontal="center" vertical="center" wrapText="1"/>
    </xf>
    <xf fontId="3" fillId="0" borderId="0" numFmtId="0" xfId="0" applyFont="1" applyAlignment="1">
      <alignment vertical="center" wrapText="1"/>
    </xf>
    <xf fontId="8" fillId="0" borderId="0" numFmtId="0" xfId="0" applyFont="1" applyAlignment="1">
      <alignment vertical="center" wrapText="1"/>
    </xf>
    <xf fontId="0" fillId="0" borderId="0" numFmtId="0" xfId="0">
      <protection hidden="0" locked="1"/>
    </xf>
    <xf fontId="5" fillId="0" borderId="0" numFmtId="0" xfId="0" applyFont="1" applyAlignment="1">
      <alignment vertical="center" wrapText="1"/>
    </xf>
    <xf fontId="9" fillId="0" borderId="0" numFmtId="0" xfId="0" applyFont="1" applyAlignment="1">
      <alignment horizontal="center" vertical="center"/>
    </xf>
    <xf fontId="9" fillId="0" borderId="0" numFmtId="1" xfId="0" applyNumberFormat="1" applyFont="1" applyAlignment="1">
      <alignment horizontal="center" vertical="center"/>
    </xf>
  </cellXfs>
  <cellStyles count="1227">
    <cellStyle name="Гиперссылка" xfId="1" builtinId="8"/>
    <cellStyle name="Гиперссылка" xfId="2" builtinId="8"/>
    <cellStyle name="Гиперссылка" xfId="3" builtinId="8"/>
    <cellStyle name="Гиперссылка" xfId="4" builtinId="8"/>
    <cellStyle name="Гиперссылка" xfId="5" builtinId="8"/>
    <cellStyle name="Гиперссылка" xfId="6" builtinId="8"/>
    <cellStyle name="Гиперссылка" xfId="7" builtinId="8"/>
    <cellStyle name="Гиперссылка" xfId="8" builtinId="8"/>
    <cellStyle name="Гиперссылка" xfId="9" builtinId="8"/>
    <cellStyle name="Гиперссылка" xfId="10" builtinId="8"/>
    <cellStyle name="Гиперссылка" xfId="11" builtinId="8"/>
    <cellStyle name="Гиперссылка" xfId="12" builtinId="8"/>
    <cellStyle name="Гиперссылка" xfId="13" builtinId="8"/>
    <cellStyle name="Гиперссылка" xfId="14" builtinId="8"/>
    <cellStyle name="Гиперссылка" xfId="15" builtinId="8"/>
    <cellStyle name="Гиперссылка" xfId="16" builtinId="8"/>
    <cellStyle name="Гиперссылка" xfId="17" builtinId="8"/>
    <cellStyle name="Гиперссылка" xfId="18" builtinId="8"/>
    <cellStyle name="Гиперссылка" xfId="19" builtinId="8"/>
    <cellStyle name="Гиперссылка" xfId="20" builtinId="8"/>
    <cellStyle name="Гиперссылка" xfId="21" builtinId="8"/>
    <cellStyle name="Гиперссылка" xfId="22" builtinId="8"/>
    <cellStyle name="Гиперссылка" xfId="23" builtinId="8"/>
    <cellStyle name="Гиперссылка" xfId="24" builtinId="8"/>
    <cellStyle name="Гиперссылка" xfId="25" builtinId="8"/>
    <cellStyle name="Гиперссылка" xfId="26" builtinId="8"/>
    <cellStyle name="Гиперссылка" xfId="27" builtinId="8"/>
    <cellStyle name="Гиперссылка" xfId="28" builtinId="8"/>
    <cellStyle name="Гиперссылка" xfId="29" builtinId="8"/>
    <cellStyle name="Гиперссылка" xfId="30" builtinId="8"/>
    <cellStyle name="Гиперссылка" xfId="31" builtinId="8"/>
    <cellStyle name="Гиперссылка" xfId="32" builtinId="8"/>
    <cellStyle name="Гиперссылка" xfId="33" builtinId="8"/>
    <cellStyle name="Гиперссылка" xfId="34" builtinId="8"/>
    <cellStyle name="Гиперссылка" xfId="35" builtinId="8"/>
    <cellStyle name="Гиперссылка" xfId="36" builtinId="8"/>
    <cellStyle name="Гиперссылка" xfId="37" builtinId="8"/>
    <cellStyle name="Гиперссылка" xfId="38" builtinId="8"/>
    <cellStyle name="Гиперссылка" xfId="39" builtinId="8"/>
    <cellStyle name="Гиперссылка" xfId="40" builtinId="8"/>
    <cellStyle name="Гиперссылка" xfId="41" builtinId="8"/>
    <cellStyle name="Гиперссылка" xfId="42" builtinId="8"/>
    <cellStyle name="Гиперссылка" xfId="43" builtinId="8"/>
    <cellStyle name="Гиперссылка" xfId="44" builtinId="8"/>
    <cellStyle name="Гиперссылка" xfId="45" builtinId="8"/>
    <cellStyle name="Гиперссылка" xfId="46" builtinId="8"/>
    <cellStyle name="Гиперссылка" xfId="47" builtinId="8"/>
    <cellStyle name="Гиперссылка" xfId="48" builtinId="8"/>
    <cellStyle name="Гиперссылка" xfId="49" builtinId="8"/>
    <cellStyle name="Гиперссылка" xfId="50" builtinId="8"/>
    <cellStyle name="Гиперссылка" xfId="51" builtinId="8"/>
    <cellStyle name="Гиперссылка" xfId="52" builtinId="8"/>
    <cellStyle name="Гиперссылка" xfId="53" builtinId="8"/>
    <cellStyle name="Гиперссылка" xfId="54" builtinId="8"/>
    <cellStyle name="Гиперссылка" xfId="55" builtinId="8"/>
    <cellStyle name="Гиперссылка" xfId="56" builtinId="8"/>
    <cellStyle name="Гиперссылка" xfId="57" builtinId="8"/>
    <cellStyle name="Гиперссылка" xfId="58" builtinId="8"/>
    <cellStyle name="Гиперссылка" xfId="59" builtinId="8"/>
    <cellStyle name="Гиперссылка" xfId="60" builtinId="8"/>
    <cellStyle name="Гиперссылка" xfId="61" builtinId="8"/>
    <cellStyle name="Гиперссылка" xfId="62" builtinId="8"/>
    <cellStyle name="Гиперссылка" xfId="63" builtinId="8"/>
    <cellStyle name="Гиперссылка" xfId="64" builtinId="8"/>
    <cellStyle name="Гиперссылка" xfId="65" builtinId="8"/>
    <cellStyle name="Гиперссылка" xfId="66" builtinId="8"/>
    <cellStyle name="Гиперссылка" xfId="67" builtinId="8"/>
    <cellStyle name="Гиперссылка" xfId="68" builtinId="8"/>
    <cellStyle name="Гиперссылка" xfId="69" builtinId="8"/>
    <cellStyle name="Гиперссылка" xfId="70" builtinId="8"/>
    <cellStyle name="Гиперссылка" xfId="71" builtinId="8"/>
    <cellStyle name="Гиперссылка" xfId="72" builtinId="8"/>
    <cellStyle name="Гиперссылка" xfId="73" builtinId="8"/>
    <cellStyle name="Гиперссылка" xfId="74" builtinId="8"/>
    <cellStyle name="Гиперссылка" xfId="75" builtinId="8"/>
    <cellStyle name="Гиперссылка" xfId="76" builtinId="8"/>
    <cellStyle name="Гиперссылка" xfId="77" builtinId="8"/>
    <cellStyle name="Гиперссылка" xfId="78" builtinId="8"/>
    <cellStyle name="Гиперссылка" xfId="79" builtinId="8"/>
    <cellStyle name="Гиперссылка" xfId="80" builtinId="8"/>
    <cellStyle name="Гиперссылка" xfId="81" builtinId="8"/>
    <cellStyle name="Гиперссылка" xfId="82" builtinId="8"/>
    <cellStyle name="Гиперссылка" xfId="83" builtinId="8"/>
    <cellStyle name="Гиперссылка" xfId="84" builtinId="8"/>
    <cellStyle name="Гиперссылка" xfId="85" builtinId="8"/>
    <cellStyle name="Гиперссылка" xfId="86" builtinId="8"/>
    <cellStyle name="Гиперссылка" xfId="87" builtinId="8"/>
    <cellStyle name="Гиперссылка" xfId="88" builtinId="8"/>
    <cellStyle name="Гиперссылка" xfId="89" builtinId="8"/>
    <cellStyle name="Гиперссылка" xfId="90" builtinId="8"/>
    <cellStyle name="Гиперссылка" xfId="91" builtinId="8"/>
    <cellStyle name="Гиперссылка" xfId="92" builtinId="8"/>
    <cellStyle name="Гиперссылка" xfId="93" builtinId="8"/>
    <cellStyle name="Гиперссылка" xfId="94" builtinId="8"/>
    <cellStyle name="Гиперссылка" xfId="95" builtinId="8"/>
    <cellStyle name="Гиперссылка" xfId="96" builtinId="8"/>
    <cellStyle name="Гиперссылка" xfId="97" builtinId="8"/>
    <cellStyle name="Гиперссылка" xfId="98" builtinId="8"/>
    <cellStyle name="Гиперссылка" xfId="99" builtinId="8"/>
    <cellStyle name="Гиперссылка" xfId="100" builtinId="8"/>
    <cellStyle name="Гиперссылка" xfId="101" builtinId="8"/>
    <cellStyle name="Гиперссылка" xfId="102" builtinId="8"/>
    <cellStyle name="Гиперссылка" xfId="103" builtinId="8"/>
    <cellStyle name="Гиперссылка" xfId="104" builtinId="8"/>
    <cellStyle name="Гиперссылка" xfId="105" builtinId="8"/>
    <cellStyle name="Гиперссылка" xfId="106" builtinId="8"/>
    <cellStyle name="Гиперссылка" xfId="107" builtinId="8"/>
    <cellStyle name="Гиперссылка" xfId="108" builtinId="8"/>
    <cellStyle name="Гиперссылка" xfId="109" builtinId="8"/>
    <cellStyle name="Гиперссылка" xfId="110" builtinId="8"/>
    <cellStyle name="Гиперссылка" xfId="111" builtinId="8"/>
    <cellStyle name="Гиперссылка" xfId="112" builtinId="8"/>
    <cellStyle name="Гиперссылка" xfId="113" builtinId="8"/>
    <cellStyle name="Гиперссылка" xfId="114" builtinId="8"/>
    <cellStyle name="Гиперссылка" xfId="115" builtinId="8"/>
    <cellStyle name="Гиперссылка" xfId="116" builtinId="8"/>
    <cellStyle name="Гиперссылка" xfId="117" builtinId="8"/>
    <cellStyle name="Гиперссылка" xfId="118" builtinId="8"/>
    <cellStyle name="Гиперссылка" xfId="119" builtinId="8"/>
    <cellStyle name="Гиперссылка" xfId="120" builtinId="8"/>
    <cellStyle name="Гиперссылка" xfId="121" builtinId="8"/>
    <cellStyle name="Гиперссылка" xfId="122" builtinId="8"/>
    <cellStyle name="Гиперссылка" xfId="123" builtinId="8"/>
    <cellStyle name="Гиперссылка" xfId="124" builtinId="8"/>
    <cellStyle name="Гиперссылка" xfId="125" builtinId="8"/>
    <cellStyle name="Гиперссылка" xfId="126" builtinId="8"/>
    <cellStyle name="Гиперссылка" xfId="127" builtinId="8"/>
    <cellStyle name="Гиперссылка" xfId="128" builtinId="8"/>
    <cellStyle name="Гиперссылка" xfId="129" builtinId="8"/>
    <cellStyle name="Гиперссылка" xfId="130" builtinId="8"/>
    <cellStyle name="Гиперссылка" xfId="131" builtinId="8"/>
    <cellStyle name="Гиперссылка" xfId="132" builtinId="8"/>
    <cellStyle name="Гиперссылка" xfId="133" builtinId="8"/>
    <cellStyle name="Гиперссылка" xfId="134" builtinId="8"/>
    <cellStyle name="Гиперссылка" xfId="135" builtinId="8"/>
    <cellStyle name="Гиперссылка" xfId="136" builtinId="8"/>
    <cellStyle name="Гиперссылка" xfId="137" builtinId="8"/>
    <cellStyle name="Гиперссылка" xfId="138" builtinId="8"/>
    <cellStyle name="Гиперссылка" xfId="139" builtinId="8"/>
    <cellStyle name="Гиперссылка" xfId="140" builtinId="8"/>
    <cellStyle name="Гиперссылка" xfId="141" builtinId="8"/>
    <cellStyle name="Гиперссылка" xfId="142" builtinId="8"/>
    <cellStyle name="Гиперссылка" xfId="143" builtinId="8"/>
    <cellStyle name="Гиперссылка" xfId="144" builtinId="8"/>
    <cellStyle name="Гиперссылка" xfId="145" builtinId="8"/>
    <cellStyle name="Гиперссылка" xfId="146" builtinId="8"/>
    <cellStyle name="Гиперссылка" xfId="147" builtinId="8"/>
    <cellStyle name="Гиперссылка" xfId="148" builtinId="8"/>
    <cellStyle name="Гиперссылка" xfId="149" builtinId="8"/>
    <cellStyle name="Гиперссылка" xfId="150" builtinId="8"/>
    <cellStyle name="Гиперссылка" xfId="151" builtinId="8"/>
    <cellStyle name="Гиперссылка" xfId="152" builtinId="8"/>
    <cellStyle name="Гиперссылка" xfId="153" builtinId="8"/>
    <cellStyle name="Гиперссылка" xfId="154" builtinId="8"/>
    <cellStyle name="Гиперссылка" xfId="155" builtinId="8"/>
    <cellStyle name="Гиперссылка" xfId="156" builtinId="8"/>
    <cellStyle name="Гиперссылка" xfId="157" builtinId="8"/>
    <cellStyle name="Гиперссылка" xfId="158" builtinId="8"/>
    <cellStyle name="Гиперссылка" xfId="159" builtinId="8"/>
    <cellStyle name="Гиперссылка" xfId="160" builtinId="8"/>
    <cellStyle name="Гиперссылка" xfId="161" builtinId="8"/>
    <cellStyle name="Гиперссылка" xfId="162" builtinId="8"/>
    <cellStyle name="Гиперссылка" xfId="163" builtinId="8"/>
    <cellStyle name="Гиперссылка" xfId="164" builtinId="8"/>
    <cellStyle name="Гиперссылка" xfId="165" builtinId="8"/>
    <cellStyle name="Гиперссылка" xfId="166" builtinId="8"/>
    <cellStyle name="Гиперссылка" xfId="167" builtinId="8"/>
    <cellStyle name="Гиперссылка" xfId="168" builtinId="8"/>
    <cellStyle name="Гиперссылка" xfId="169" builtinId="8"/>
    <cellStyle name="Гиперссылка" xfId="170" builtinId="8"/>
    <cellStyle name="Гиперссылка" xfId="171" builtinId="8"/>
    <cellStyle name="Гиперссылка" xfId="172" builtinId="8"/>
    <cellStyle name="Гиперссылка" xfId="173" builtinId="8"/>
    <cellStyle name="Гиперссылка" xfId="174" builtinId="8"/>
    <cellStyle name="Гиперссылка" xfId="175" builtinId="8"/>
    <cellStyle name="Гиперссылка" xfId="176" builtinId="8"/>
    <cellStyle name="Гиперссылка" xfId="177" builtinId="8"/>
    <cellStyle name="Гиперссылка" xfId="178" builtinId="8"/>
    <cellStyle name="Гиперссылка" xfId="179" builtinId="8"/>
    <cellStyle name="Гиперссылка" xfId="180" builtinId="8"/>
    <cellStyle name="Гиперссылка" xfId="181" builtinId="8"/>
    <cellStyle name="Гиперссылка" xfId="182" builtinId="8"/>
    <cellStyle name="Гиперссылка" xfId="183" builtinId="8"/>
    <cellStyle name="Гиперссылка" xfId="184" builtinId="8"/>
    <cellStyle name="Гиперссылка" xfId="185" builtinId="8"/>
    <cellStyle name="Гиперссылка" xfId="186" builtinId="8"/>
    <cellStyle name="Гиперссылка" xfId="187" builtinId="8"/>
    <cellStyle name="Гиперссылка" xfId="188" builtinId="8"/>
    <cellStyle name="Гиперссылка" xfId="189" builtinId="8"/>
    <cellStyle name="Гиперссылка" xfId="190" builtinId="8"/>
    <cellStyle name="Гиперссылка" xfId="191" builtinId="8"/>
    <cellStyle name="Гиперссылка" xfId="192" builtinId="8"/>
    <cellStyle name="Гиперссылка" xfId="193" builtinId="8"/>
    <cellStyle name="Гиперссылка" xfId="194" builtinId="8"/>
    <cellStyle name="Гиперссылка" xfId="195" builtinId="8"/>
    <cellStyle name="Гиперссылка" xfId="196" builtinId="8"/>
    <cellStyle name="Гиперссылка" xfId="197" builtinId="8"/>
    <cellStyle name="Гиперссылка" xfId="198" builtinId="8"/>
    <cellStyle name="Гиперссылка" xfId="199" builtinId="8"/>
    <cellStyle name="Гиперссылка" xfId="200" builtinId="8"/>
    <cellStyle name="Гиперссылка" xfId="201" builtinId="8"/>
    <cellStyle name="Гиперссылка" xfId="202" builtinId="8"/>
    <cellStyle name="Гиперссылка" xfId="203" builtinId="8"/>
    <cellStyle name="Гиперссылка" xfId="204" builtinId="8"/>
    <cellStyle name="Гиперссылка" xfId="205" builtinId="8"/>
    <cellStyle name="Гиперссылка" xfId="206" builtinId="8"/>
    <cellStyle name="Гиперссылка" xfId="207" builtinId="8"/>
    <cellStyle name="Гиперссылка" xfId="208" builtinId="8"/>
    <cellStyle name="Гиперссылка" xfId="209" builtinId="8"/>
    <cellStyle name="Гиперссылка" xfId="210" builtinId="8"/>
    <cellStyle name="Гиперссылка" xfId="211" builtinId="8"/>
    <cellStyle name="Гиперссылка" xfId="212" builtinId="8"/>
    <cellStyle name="Гиперссылка" xfId="213" builtinId="8"/>
    <cellStyle name="Гиперссылка" xfId="214" builtinId="8"/>
    <cellStyle name="Гиперссылка" xfId="215" builtinId="8"/>
    <cellStyle name="Гиперссылка" xfId="216" builtinId="8"/>
    <cellStyle name="Гиперссылка" xfId="217" builtinId="8"/>
    <cellStyle name="Гиперссылка" xfId="218" builtinId="8"/>
    <cellStyle name="Гиперссылка" xfId="219" builtinId="8"/>
    <cellStyle name="Гиперссылка" xfId="220" builtinId="8"/>
    <cellStyle name="Гиперссылка" xfId="221" builtinId="8"/>
    <cellStyle name="Гиперссылка" xfId="222" builtinId="8"/>
    <cellStyle name="Гиперссылка" xfId="223" builtinId="8"/>
    <cellStyle name="Гиперссылка" xfId="224" builtinId="8"/>
    <cellStyle name="Гиперссылка" xfId="225" builtinId="8"/>
    <cellStyle name="Гиперссылка" xfId="226" builtinId="8"/>
    <cellStyle name="Гиперссылка" xfId="227" builtinId="8"/>
    <cellStyle name="Гиперссылка" xfId="228" builtinId="8"/>
    <cellStyle name="Гиперссылка" xfId="229" builtinId="8"/>
    <cellStyle name="Гиперссылка" xfId="230" builtinId="8"/>
    <cellStyle name="Гиперссылка" xfId="231" builtinId="8"/>
    <cellStyle name="Гиперссылка" xfId="232" builtinId="8"/>
    <cellStyle name="Гиперссылка" xfId="233" builtinId="8"/>
    <cellStyle name="Гиперссылка" xfId="234" builtinId="8"/>
    <cellStyle name="Гиперссылка" xfId="235" builtinId="8"/>
    <cellStyle name="Гиперссылка" xfId="236" builtinId="8"/>
    <cellStyle name="Гиперссылка" xfId="237" builtinId="8"/>
    <cellStyle name="Гиперссылка" xfId="238" builtinId="8"/>
    <cellStyle name="Гиперссылка" xfId="239" builtinId="8"/>
    <cellStyle name="Гиперссылка" xfId="240" builtinId="8"/>
    <cellStyle name="Гиперссылка" xfId="241" builtinId="8"/>
    <cellStyle name="Гиперссылка" xfId="242" builtinId="8"/>
    <cellStyle name="Гиперссылка" xfId="243" builtinId="8"/>
    <cellStyle name="Гиперссылка" xfId="244" builtinId="8"/>
    <cellStyle name="Гиперссылка" xfId="245" builtinId="8"/>
    <cellStyle name="Гиперссылка" xfId="246" builtinId="8"/>
    <cellStyle name="Гиперссылка" xfId="247" builtinId="8"/>
    <cellStyle name="Гиперссылка" xfId="248" builtinId="8"/>
    <cellStyle name="Гиперссылка" xfId="249" builtinId="8"/>
    <cellStyle name="Гиперссылка" xfId="250" builtinId="8"/>
    <cellStyle name="Гиперссылка" xfId="251" builtinId="8"/>
    <cellStyle name="Гиперссылка" xfId="252" builtinId="8"/>
    <cellStyle name="Гиперссылка" xfId="253" builtinId="8"/>
    <cellStyle name="Гиперссылка" xfId="254" builtinId="8"/>
    <cellStyle name="Гиперссылка" xfId="255" builtinId="8"/>
    <cellStyle name="Гиперссылка" xfId="256" builtinId="8"/>
    <cellStyle name="Гиперссылка" xfId="257" builtinId="8"/>
    <cellStyle name="Гиперссылка" xfId="258" builtinId="8"/>
    <cellStyle name="Гиперссылка" xfId="259" builtinId="8"/>
    <cellStyle name="Гиперссылка" xfId="260" builtinId="8"/>
    <cellStyle name="Гиперссылка" xfId="261" builtinId="8"/>
    <cellStyle name="Гиперссылка" xfId="262" builtinId="8"/>
    <cellStyle name="Гиперссылка" xfId="263" builtinId="8"/>
    <cellStyle name="Гиперссылка" xfId="264" builtinId="8"/>
    <cellStyle name="Гиперссылка" xfId="265" builtinId="8"/>
    <cellStyle name="Гиперссылка" xfId="266" builtinId="8"/>
    <cellStyle name="Гиперссылка" xfId="267" builtinId="8"/>
    <cellStyle name="Гиперссылка" xfId="268" builtinId="8"/>
    <cellStyle name="Гиперссылка" xfId="269" builtinId="8"/>
    <cellStyle name="Гиперссылка" xfId="270" builtinId="8"/>
    <cellStyle name="Гиперссылка" xfId="271" builtinId="8"/>
    <cellStyle name="Гиперссылка" xfId="272" builtinId="8"/>
    <cellStyle name="Гиперссылка" xfId="273" builtinId="8"/>
    <cellStyle name="Гиперссылка" xfId="274" builtinId="8"/>
    <cellStyle name="Гиперссылка" xfId="275" builtinId="8"/>
    <cellStyle name="Гиперссылка" xfId="276" builtinId="8"/>
    <cellStyle name="Гиперссылка" xfId="277" builtinId="8"/>
    <cellStyle name="Гиперссылка" xfId="278" builtinId="8"/>
    <cellStyle name="Гиперссылка" xfId="279" builtinId="8"/>
    <cellStyle name="Гиперссылка" xfId="280" builtinId="8"/>
    <cellStyle name="Гиперссылка" xfId="281" builtinId="8"/>
    <cellStyle name="Гиперссылка" xfId="282" builtinId="8"/>
    <cellStyle name="Гиперссылка" xfId="283" builtinId="8"/>
    <cellStyle name="Гиперссылка" xfId="284" builtinId="8"/>
    <cellStyle name="Гиперссылка" xfId="285" builtinId="8"/>
    <cellStyle name="Гиперссылка" xfId="286" builtinId="8"/>
    <cellStyle name="Гиперссылка" xfId="287" builtinId="8"/>
    <cellStyle name="Гиперссылка" xfId="288" builtinId="8"/>
    <cellStyle name="Гиперссылка" xfId="289" builtinId="8"/>
    <cellStyle name="Гиперссылка" xfId="290" builtinId="8"/>
    <cellStyle name="Гиперссылка" xfId="291" builtinId="8"/>
    <cellStyle name="Гиперссылка" xfId="292" builtinId="8"/>
    <cellStyle name="Гиперссылка" xfId="293" builtinId="8"/>
    <cellStyle name="Гиперссылка" xfId="294" builtinId="8"/>
    <cellStyle name="Гиперссылка" xfId="295" builtinId="8"/>
    <cellStyle name="Гиперссылка" xfId="296" builtinId="8"/>
    <cellStyle name="Гиперссылка" xfId="297" builtinId="8"/>
    <cellStyle name="Гиперссылка" xfId="298" builtinId="8"/>
    <cellStyle name="Гиперссылка" xfId="299" builtinId="8"/>
    <cellStyle name="Гиперссылка" xfId="300" builtinId="8"/>
    <cellStyle name="Гиперссылка" xfId="301" builtinId="8"/>
    <cellStyle name="Гиперссылка" xfId="302" builtinId="8"/>
    <cellStyle name="Гиперссылка" xfId="303" builtinId="8"/>
    <cellStyle name="Гиперссылка" xfId="304" builtinId="8"/>
    <cellStyle name="Гиперссылка" xfId="305" builtinId="8"/>
    <cellStyle name="Гиперссылка" xfId="306" builtinId="8"/>
    <cellStyle name="Гиперссылка" xfId="307" builtinId="8"/>
    <cellStyle name="Гиперссылка" xfId="308" builtinId="8"/>
    <cellStyle name="Гиперссылка" xfId="309" builtinId="8"/>
    <cellStyle name="Гиперссылка" xfId="310" builtinId="8"/>
    <cellStyle name="Гиперссылка" xfId="311" builtinId="8"/>
    <cellStyle name="Гиперссылка" xfId="312" builtinId="8"/>
    <cellStyle name="Гиперссылка" xfId="313" builtinId="8"/>
    <cellStyle name="Гиперссылка" xfId="314" builtinId="8"/>
    <cellStyle name="Гиперссылка" xfId="315" builtinId="8"/>
    <cellStyle name="Гиперссылка" xfId="316" builtinId="8"/>
    <cellStyle name="Гиперссылка" xfId="317" builtinId="8"/>
    <cellStyle name="Гиперссылка" xfId="318" builtinId="8"/>
    <cellStyle name="Гиперссылка" xfId="319" builtinId="8"/>
    <cellStyle name="Гиперссылка" xfId="320" builtinId="8"/>
    <cellStyle name="Гиперссылка" xfId="321" builtinId="8"/>
    <cellStyle name="Гиперссылка" xfId="322" builtinId="8"/>
    <cellStyle name="Гиперссылка" xfId="323" builtinId="8"/>
    <cellStyle name="Гиперссылка" xfId="324" builtinId="8"/>
    <cellStyle name="Гиперссылка" xfId="325" builtinId="8"/>
    <cellStyle name="Гиперссылка" xfId="326" builtinId="8"/>
    <cellStyle name="Гиперссылка" xfId="327" builtinId="8"/>
    <cellStyle name="Гиперссылка" xfId="328" builtinId="8"/>
    <cellStyle name="Гиперссылка" xfId="329" builtinId="8"/>
    <cellStyle name="Гиперссылка" xfId="330" builtinId="8"/>
    <cellStyle name="Гиперссылка" xfId="331" builtinId="8"/>
    <cellStyle name="Гиперссылка" xfId="332" builtinId="8"/>
    <cellStyle name="Гиперссылка" xfId="333" builtinId="8"/>
    <cellStyle name="Гиперссылка" xfId="334" builtinId="8"/>
    <cellStyle name="Гиперссылка" xfId="335" builtinId="8"/>
    <cellStyle name="Гиперссылка" xfId="336" builtinId="8"/>
    <cellStyle name="Гиперссылка" xfId="337" builtinId="8"/>
    <cellStyle name="Гиперссылка" xfId="338" builtinId="8"/>
    <cellStyle name="Гиперссылка" xfId="339" builtinId="8"/>
    <cellStyle name="Гиперссылка" xfId="340" builtinId="8"/>
    <cellStyle name="Гиперссылка" xfId="341" builtinId="8"/>
    <cellStyle name="Гиперссылка" xfId="342" builtinId="8"/>
    <cellStyle name="Гиперссылка" xfId="343" builtinId="8"/>
    <cellStyle name="Гиперссылка" xfId="344" builtinId="8"/>
    <cellStyle name="Гиперссылка" xfId="345" builtinId="8"/>
    <cellStyle name="Гиперссылка" xfId="346" builtinId="8"/>
    <cellStyle name="Гиперссылка" xfId="347" builtinId="8"/>
    <cellStyle name="Гиперссылка" xfId="348" builtinId="8"/>
    <cellStyle name="Гиперссылка" xfId="349" builtinId="8"/>
    <cellStyle name="Гиперссылка" xfId="350" builtinId="8"/>
    <cellStyle name="Гиперссылка" xfId="351" builtinId="8"/>
    <cellStyle name="Гиперссылка" xfId="352" builtinId="8"/>
    <cellStyle name="Гиперссылка" xfId="353" builtinId="8"/>
    <cellStyle name="Гиперссылка" xfId="354" builtinId="8"/>
    <cellStyle name="Гиперссылка" xfId="355" builtinId="8"/>
    <cellStyle name="Гиперссылка" xfId="356" builtinId="8"/>
    <cellStyle name="Гиперссылка" xfId="357" builtinId="8"/>
    <cellStyle name="Гиперссылка" xfId="358" builtinId="8"/>
    <cellStyle name="Гиперссылка" xfId="359" builtinId="8"/>
    <cellStyle name="Гиперссылка" xfId="360" builtinId="8"/>
    <cellStyle name="Гиперссылка" xfId="361" builtinId="8"/>
    <cellStyle name="Гиперссылка" xfId="362" builtinId="8"/>
    <cellStyle name="Гиперссылка" xfId="363" builtinId="8"/>
    <cellStyle name="Гиперссылка" xfId="364" builtinId="8"/>
    <cellStyle name="Гиперссылка" xfId="365" builtinId="8"/>
    <cellStyle name="Гиперссылка" xfId="366" builtinId="8"/>
    <cellStyle name="Гиперссылка" xfId="367" builtinId="8"/>
    <cellStyle name="Гиперссылка" xfId="368" builtinId="8"/>
    <cellStyle name="Гиперссылка" xfId="369" builtinId="8"/>
    <cellStyle name="Гиперссылка" xfId="370" builtinId="8"/>
    <cellStyle name="Гиперссылка" xfId="371" builtinId="8"/>
    <cellStyle name="Гиперссылка" xfId="372" builtinId="8"/>
    <cellStyle name="Гиперссылка" xfId="373" builtinId="8"/>
    <cellStyle name="Гиперссылка" xfId="374" builtinId="8"/>
    <cellStyle name="Гиперссылка" xfId="375" builtinId="8"/>
    <cellStyle name="Гиперссылка" xfId="376" builtinId="8"/>
    <cellStyle name="Гиперссылка" xfId="377" builtinId="8"/>
    <cellStyle name="Гиперссылка" xfId="378" builtinId="8"/>
    <cellStyle name="Гиперссылка" xfId="379" builtinId="8"/>
    <cellStyle name="Гиперссылка" xfId="380" builtinId="8"/>
    <cellStyle name="Гиперссылка" xfId="381" builtinId="8"/>
    <cellStyle name="Гиперссылка" xfId="382" builtinId="8"/>
    <cellStyle name="Гиперссылка" xfId="383" builtinId="8"/>
    <cellStyle name="Гиперссылка" xfId="384" builtinId="8"/>
    <cellStyle name="Гиперссылка" xfId="385" builtinId="8"/>
    <cellStyle name="Гиперссылка" xfId="386" builtinId="8"/>
    <cellStyle name="Гиперссылка" xfId="387" builtinId="8"/>
    <cellStyle name="Гиперссылка" xfId="388" builtinId="8"/>
    <cellStyle name="Гиперссылка" xfId="389" builtinId="8"/>
    <cellStyle name="Гиперссылка" xfId="390" builtinId="8"/>
    <cellStyle name="Гиперссылка" xfId="391" builtinId="8"/>
    <cellStyle name="Гиперссылка" xfId="392" builtinId="8"/>
    <cellStyle name="Гиперссылка" xfId="393" builtinId="8"/>
    <cellStyle name="Гиперссылка" xfId="394" builtinId="8"/>
    <cellStyle name="Гиперссылка" xfId="395" builtinId="8"/>
    <cellStyle name="Гиперссылка" xfId="396" builtinId="8"/>
    <cellStyle name="Гиперссылка" xfId="397" builtinId="8"/>
    <cellStyle name="Гиперссылка" xfId="398" builtinId="8"/>
    <cellStyle name="Гиперссылка" xfId="399" builtinId="8"/>
    <cellStyle name="Гиперссылка" xfId="400" builtinId="8"/>
    <cellStyle name="Гиперссылка" xfId="401" builtinId="8"/>
    <cellStyle name="Гиперссылка" xfId="402" builtinId="8"/>
    <cellStyle name="Гиперссылка" xfId="403" builtinId="8"/>
    <cellStyle name="Гиперссылка" xfId="404" builtinId="8"/>
    <cellStyle name="Гиперссылка" xfId="405" builtinId="8"/>
    <cellStyle name="Гиперссылка" xfId="406" builtinId="8"/>
    <cellStyle name="Гиперссылка" xfId="407" builtinId="8"/>
    <cellStyle name="Гиперссылка" xfId="408" builtinId="8"/>
    <cellStyle name="Гиперссылка" xfId="409" builtinId="8"/>
    <cellStyle name="Гиперссылка" xfId="410" builtinId="8"/>
    <cellStyle name="Гиперссылка" xfId="411" builtinId="8"/>
    <cellStyle name="Гиперссылка" xfId="412" builtinId="8"/>
    <cellStyle name="Гиперссылка" xfId="413" builtinId="8"/>
    <cellStyle name="Гиперссылка" xfId="414" builtinId="8"/>
    <cellStyle name="Гиперссылка" xfId="415" builtinId="8"/>
    <cellStyle name="Гиперссылка" xfId="416" builtinId="8"/>
    <cellStyle name="Гиперссылка" xfId="417" builtinId="8"/>
    <cellStyle name="Гиперссылка" xfId="418" builtinId="8"/>
    <cellStyle name="Гиперссылка" xfId="419" builtinId="8"/>
    <cellStyle name="Гиперссылка" xfId="420" builtinId="8"/>
    <cellStyle name="Гиперссылка" xfId="421" builtinId="8"/>
    <cellStyle name="Гиперссылка" xfId="422" builtinId="8"/>
    <cellStyle name="Гиперссылка" xfId="423" builtinId="8"/>
    <cellStyle name="Гиперссылка" xfId="424" builtinId="8"/>
    <cellStyle name="Гиперссылка" xfId="425" builtinId="8"/>
    <cellStyle name="Гиперссылка" xfId="426" builtinId="8"/>
    <cellStyle name="Гиперссылка" xfId="427" builtinId="8"/>
    <cellStyle name="Гиперссылка" xfId="428" builtinId="8"/>
    <cellStyle name="Гиперссылка" xfId="429" builtinId="8"/>
    <cellStyle name="Гиперссылка" xfId="430" builtinId="8"/>
    <cellStyle name="Гиперссылка" xfId="431" builtinId="8"/>
    <cellStyle name="Гиперссылка" xfId="432" builtinId="8"/>
    <cellStyle name="Гиперссылка" xfId="433" builtinId="8"/>
    <cellStyle name="Гиперссылка" xfId="434" builtinId="8"/>
    <cellStyle name="Гиперссылка" xfId="435" builtinId="8"/>
    <cellStyle name="Гиперссылка" xfId="436" builtinId="8"/>
    <cellStyle name="Гиперссылка" xfId="437" builtinId="8"/>
    <cellStyle name="Гиперссылка" xfId="438" builtinId="8"/>
    <cellStyle name="Гиперссылка" xfId="439" builtinId="8"/>
    <cellStyle name="Гиперссылка" xfId="440" builtinId="8"/>
    <cellStyle name="Гиперссылка" xfId="441" builtinId="8"/>
    <cellStyle name="Гиперссылка" xfId="442" builtinId="8"/>
    <cellStyle name="Гиперссылка" xfId="443" builtinId="8"/>
    <cellStyle name="Гиперссылка" xfId="444" builtinId="8"/>
    <cellStyle name="Гиперссылка" xfId="445" builtinId="8"/>
    <cellStyle name="Гиперссылка" xfId="446" builtinId="8"/>
    <cellStyle name="Гиперссылка" xfId="447" builtinId="8"/>
    <cellStyle name="Гиперссылка" xfId="448" builtinId="8"/>
    <cellStyle name="Гиперссылка" xfId="449" builtinId="8"/>
    <cellStyle name="Гиперссылка" xfId="450" builtinId="8"/>
    <cellStyle name="Гиперссылка" xfId="451" builtinId="8"/>
    <cellStyle name="Гиперссылка" xfId="452" builtinId="8"/>
    <cellStyle name="Гиперссылка" xfId="453" builtinId="8"/>
    <cellStyle name="Гиперссылка" xfId="454" builtinId="8"/>
    <cellStyle name="Гиперссылка" xfId="455" builtinId="8"/>
    <cellStyle name="Гиперссылка" xfId="456" builtinId="8"/>
    <cellStyle name="Гиперссылка" xfId="457" builtinId="8"/>
    <cellStyle name="Гиперссылка" xfId="458" builtinId="8"/>
    <cellStyle name="Гиперссылка" xfId="459" builtinId="8"/>
    <cellStyle name="Гиперссылка" xfId="460" builtinId="8"/>
    <cellStyle name="Гиперссылка" xfId="461" builtinId="8"/>
    <cellStyle name="Гиперссылка" xfId="462" builtinId="8"/>
    <cellStyle name="Гиперссылка" xfId="463" builtinId="8"/>
    <cellStyle name="Гиперссылка" xfId="464" builtinId="8"/>
    <cellStyle name="Гиперссылка" xfId="465" builtinId="8"/>
    <cellStyle name="Гиперссылка" xfId="466" builtinId="8"/>
    <cellStyle name="Гиперссылка" xfId="467" builtinId="8"/>
    <cellStyle name="Гиперссылка" xfId="468" builtinId="8"/>
    <cellStyle name="Гиперссылка" xfId="469" builtinId="8"/>
    <cellStyle name="Гиперссылка" xfId="470" builtinId="8"/>
    <cellStyle name="Гиперссылка" xfId="471" builtinId="8"/>
    <cellStyle name="Гиперссылка" xfId="472" builtinId="8"/>
    <cellStyle name="Гиперссылка" xfId="473" builtinId="8"/>
    <cellStyle name="Гиперссылка" xfId="474" builtinId="8"/>
    <cellStyle name="Гиперссылка" xfId="475" builtinId="8"/>
    <cellStyle name="Гиперссылка" xfId="476" builtinId="8"/>
    <cellStyle name="Гиперссылка" xfId="477" builtinId="8"/>
    <cellStyle name="Гиперссылка" xfId="478" builtinId="8"/>
    <cellStyle name="Гиперссылка" xfId="479" builtinId="8"/>
    <cellStyle name="Гиперссылка" xfId="480" builtinId="8"/>
    <cellStyle name="Гиперссылка" xfId="481" builtinId="8"/>
    <cellStyle name="Гиперссылка" xfId="482" builtinId="8"/>
    <cellStyle name="Гиперссылка" xfId="483" builtinId="8"/>
    <cellStyle name="Гиперссылка" xfId="484" builtinId="8"/>
    <cellStyle name="Гиперссылка" xfId="485" builtinId="8"/>
    <cellStyle name="Гиперссылка" xfId="486" builtinId="8"/>
    <cellStyle name="Гиперссылка" xfId="487" builtinId="8"/>
    <cellStyle name="Гиперссылка" xfId="488" builtinId="8"/>
    <cellStyle name="Гиперссылка" xfId="489" builtinId="8"/>
    <cellStyle name="Гиперссылка" xfId="490" builtinId="8"/>
    <cellStyle name="Гиперссылка" xfId="491" builtinId="8"/>
    <cellStyle name="Гиперссылка" xfId="492" builtinId="8"/>
    <cellStyle name="Гиперссылка" xfId="493" builtinId="8"/>
    <cellStyle name="Гиперссылка" xfId="494" builtinId="8"/>
    <cellStyle name="Гиперссылка" xfId="495" builtinId="8"/>
    <cellStyle name="Гиперссылка" xfId="496" builtinId="8"/>
    <cellStyle name="Гиперссылка" xfId="497" builtinId="8"/>
    <cellStyle name="Гиперссылка" xfId="498" builtinId="8"/>
    <cellStyle name="Гиперссылка" xfId="499" builtinId="8"/>
    <cellStyle name="Гиперссылка" xfId="500" builtinId="8"/>
    <cellStyle name="Гиперссылка" xfId="501" builtinId="8"/>
    <cellStyle name="Гиперссылка" xfId="502" builtinId="8"/>
    <cellStyle name="Гиперссылка" xfId="503" builtinId="8"/>
    <cellStyle name="Гиперссылка" xfId="504" builtinId="8"/>
    <cellStyle name="Гиперссылка" xfId="505" builtinId="8"/>
    <cellStyle name="Гиперссылка" xfId="506" builtinId="8"/>
    <cellStyle name="Гиперссылка" xfId="507" builtinId="8"/>
    <cellStyle name="Гиперссылка" xfId="508" builtinId="8"/>
    <cellStyle name="Гиперссылка" xfId="509" builtinId="8"/>
    <cellStyle name="Гиперссылка" xfId="510" builtinId="8"/>
    <cellStyle name="Гиперссылка" xfId="511" builtinId="8"/>
    <cellStyle name="Гиперссылка" xfId="512" builtinId="8"/>
    <cellStyle name="Гиперссылка" xfId="513" builtinId="8"/>
    <cellStyle name="Гиперссылка" xfId="514" builtinId="8"/>
    <cellStyle name="Гиперссылка" xfId="515" builtinId="8"/>
    <cellStyle name="Гиперссылка" xfId="516" builtinId="8"/>
    <cellStyle name="Гиперссылка" xfId="517" builtinId="8"/>
    <cellStyle name="Гиперссылка" xfId="518" builtinId="8"/>
    <cellStyle name="Гиперссылка" xfId="519" builtinId="8"/>
    <cellStyle name="Гиперссылка" xfId="520" builtinId="8"/>
    <cellStyle name="Гиперссылка" xfId="521" builtinId="8"/>
    <cellStyle name="Гиперссылка" xfId="522" builtinId="8"/>
    <cellStyle name="Гиперссылка" xfId="523" builtinId="8"/>
    <cellStyle name="Гиперссылка" xfId="524" builtinId="8"/>
    <cellStyle name="Гиперссылка" xfId="525" builtinId="8"/>
    <cellStyle name="Гиперссылка" xfId="526" builtinId="8"/>
    <cellStyle name="Гиперссылка" xfId="527" builtinId="8"/>
    <cellStyle name="Гиперссылка" xfId="528" builtinId="8"/>
    <cellStyle name="Гиперссылка" xfId="529" builtinId="8"/>
    <cellStyle name="Гиперссылка" xfId="530" builtinId="8"/>
    <cellStyle name="Гиперссылка" xfId="531" builtinId="8"/>
    <cellStyle name="Гиперссылка" xfId="532" builtinId="8"/>
    <cellStyle name="Гиперссылка" xfId="533" builtinId="8"/>
    <cellStyle name="Гиперссылка" xfId="534" builtinId="8"/>
    <cellStyle name="Гиперссылка" xfId="535" builtinId="8"/>
    <cellStyle name="Гиперссылка" xfId="536" builtinId="8"/>
    <cellStyle name="Гиперссылка" xfId="537" builtinId="8"/>
    <cellStyle name="Гиперссылка" xfId="538" builtinId="8"/>
    <cellStyle name="Гиперссылка" xfId="539" builtinId="8"/>
    <cellStyle name="Гиперссылка" xfId="540" builtinId="8"/>
    <cellStyle name="Гиперссылка" xfId="541" builtinId="8"/>
    <cellStyle name="Гиперссылка" xfId="542" builtinId="8"/>
    <cellStyle name="Гиперссылка" xfId="543" builtinId="8"/>
    <cellStyle name="Гиперссылка" xfId="544" builtinId="8"/>
    <cellStyle name="Гиперссылка" xfId="545" builtinId="8"/>
    <cellStyle name="Гиперссылка" xfId="546" builtinId="8"/>
    <cellStyle name="Гиперссылка" xfId="547" builtinId="8"/>
    <cellStyle name="Гиперссылка" xfId="548" builtinId="8"/>
    <cellStyle name="Гиперссылка" xfId="549" builtinId="8"/>
    <cellStyle name="Гиперссылка" xfId="550" builtinId="8"/>
    <cellStyle name="Гиперссылка" xfId="551" builtinId="8"/>
    <cellStyle name="Гиперссылка" xfId="552" builtinId="8"/>
    <cellStyle name="Гиперссылка" xfId="553" builtinId="8"/>
    <cellStyle name="Гиперссылка" xfId="554" builtinId="8"/>
    <cellStyle name="Гиперссылка" xfId="555" builtinId="8"/>
    <cellStyle name="Гиперссылка" xfId="556" builtinId="8"/>
    <cellStyle name="Гиперссылка" xfId="557" builtinId="8"/>
    <cellStyle name="Гиперссылка" xfId="558" builtinId="8"/>
    <cellStyle name="Гиперссылка" xfId="559" builtinId="8"/>
    <cellStyle name="Гиперссылка" xfId="560" builtinId="8"/>
    <cellStyle name="Гиперссылка" xfId="561" builtinId="8"/>
    <cellStyle name="Гиперссылка" xfId="562" builtinId="8"/>
    <cellStyle name="Гиперссылка" xfId="563" builtinId="8"/>
    <cellStyle name="Гиперссылка" xfId="564" builtinId="8"/>
    <cellStyle name="Гиперссылка" xfId="565" builtinId="8"/>
    <cellStyle name="Гиперссылка" xfId="566" builtinId="8"/>
    <cellStyle name="Гиперссылка" xfId="567" builtinId="8"/>
    <cellStyle name="Гиперссылка" xfId="568" builtinId="8"/>
    <cellStyle name="Гиперссылка" xfId="569" builtinId="8"/>
    <cellStyle name="Гиперссылка" xfId="570" builtinId="8"/>
    <cellStyle name="Гиперссылка" xfId="571" builtinId="8"/>
    <cellStyle name="Гиперссылка" xfId="572" builtinId="8"/>
    <cellStyle name="Гиперссылка" xfId="573" builtinId="8"/>
    <cellStyle name="Гиперссылка" xfId="574" builtinId="8"/>
    <cellStyle name="Гиперссылка" xfId="575" builtinId="8"/>
    <cellStyle name="Гиперссылка" xfId="576" builtinId="8"/>
    <cellStyle name="Гиперссылка" xfId="577" builtinId="8"/>
    <cellStyle name="Гиперссылка" xfId="578" builtinId="8"/>
    <cellStyle name="Гиперссылка" xfId="579" builtinId="8"/>
    <cellStyle name="Гиперссылка" xfId="580" builtinId="8"/>
    <cellStyle name="Гиперссылка" xfId="581" builtinId="8"/>
    <cellStyle name="Гиперссылка" xfId="582" builtinId="8"/>
    <cellStyle name="Гиперссылка" xfId="583" builtinId="8"/>
    <cellStyle name="Гиперссылка" xfId="584" builtinId="8"/>
    <cellStyle name="Гиперссылка" xfId="585" builtinId="8"/>
    <cellStyle name="Гиперссылка" xfId="586" builtinId="8"/>
    <cellStyle name="Гиперссылка" xfId="587" builtinId="8"/>
    <cellStyle name="Гиперссылка" xfId="588" builtinId="8"/>
    <cellStyle name="Гиперссылка" xfId="589" builtinId="8"/>
    <cellStyle name="Гиперссылка" xfId="590" builtinId="8"/>
    <cellStyle name="Гиперссылка" xfId="591" builtinId="8"/>
    <cellStyle name="Гиперссылка" xfId="592" builtinId="8"/>
    <cellStyle name="Гиперссылка" xfId="593" builtinId="8"/>
    <cellStyle name="Гиперссылка" xfId="594" builtinId="8"/>
    <cellStyle name="Гиперссылка" xfId="595" builtinId="8"/>
    <cellStyle name="Гиперссылка" xfId="596" builtinId="8"/>
    <cellStyle name="Гиперссылка" xfId="597" builtinId="8"/>
    <cellStyle name="Гиперссылка" xfId="598" builtinId="8"/>
    <cellStyle name="Гиперссылка" xfId="599" builtinId="8"/>
    <cellStyle name="Гиперссылка" xfId="600" builtinId="8"/>
    <cellStyle name="Гиперссылка" xfId="601" builtinId="8"/>
    <cellStyle name="Гиперссылка" xfId="602" builtinId="8"/>
    <cellStyle name="Гиперссылка" xfId="603" builtinId="8"/>
    <cellStyle name="Гиперссылка" xfId="604" builtinId="8"/>
    <cellStyle name="Гиперссылка" xfId="605" builtinId="8"/>
    <cellStyle name="Гиперссылка" xfId="606" builtinId="8"/>
    <cellStyle name="Гиперссылка" xfId="607" builtinId="8"/>
    <cellStyle name="Гиперссылка" xfId="608" builtinId="8"/>
    <cellStyle name="Гиперссылка" xfId="609" builtinId="8"/>
    <cellStyle name="Гиперссылка" xfId="610" builtinId="8"/>
    <cellStyle name="Гиперссылка" xfId="611" builtinId="8"/>
    <cellStyle name="Гиперссылка" xfId="612" builtinId="8"/>
    <cellStyle name="Гиперссылка" xfId="613" builtinId="8"/>
    <cellStyle name="Обычный" xfId="0" builtinId="0"/>
    <cellStyle name="Открывавшаяся гиперссылка" xfId="614" builtinId="9"/>
    <cellStyle name="Открывавшаяся гиперссылка" xfId="615" builtinId="9"/>
    <cellStyle name="Открывавшаяся гиперссылка" xfId="616" builtinId="9"/>
    <cellStyle name="Открывавшаяся гиперссылка" xfId="617" builtinId="9"/>
    <cellStyle name="Открывавшаяся гиперссылка" xfId="618" builtinId="9"/>
    <cellStyle name="Открывавшаяся гиперссылка" xfId="619" builtinId="9"/>
    <cellStyle name="Открывавшаяся гиперссылка" xfId="620" builtinId="9"/>
    <cellStyle name="Открывавшаяся гиперссылка" xfId="621" builtinId="9"/>
    <cellStyle name="Открывавшаяся гиперссылка" xfId="622" builtinId="9"/>
    <cellStyle name="Открывавшаяся гиперссылка" xfId="623" builtinId="9"/>
    <cellStyle name="Открывавшаяся гиперссылка" xfId="624" builtinId="9"/>
    <cellStyle name="Открывавшаяся гиперссылка" xfId="625" builtinId="9"/>
    <cellStyle name="Открывавшаяся гиперссылка" xfId="626" builtinId="9"/>
    <cellStyle name="Открывавшаяся гиперссылка" xfId="627" builtinId="9"/>
    <cellStyle name="Открывавшаяся гиперссылка" xfId="628" builtinId="9"/>
    <cellStyle name="Открывавшаяся гиперссылка" xfId="629" builtinId="9"/>
    <cellStyle name="Открывавшаяся гиперссылка" xfId="630" builtinId="9"/>
    <cellStyle name="Открывавшаяся гиперссылка" xfId="631" builtinId="9"/>
    <cellStyle name="Открывавшаяся гиперссылка" xfId="632" builtinId="9"/>
    <cellStyle name="Открывавшаяся гиперссылка" xfId="633" builtinId="9"/>
    <cellStyle name="Открывавшаяся гиперссылка" xfId="634" builtinId="9"/>
    <cellStyle name="Открывавшаяся гиперссылка" xfId="635" builtinId="9"/>
    <cellStyle name="Открывавшаяся гиперссылка" xfId="636" builtinId="9"/>
    <cellStyle name="Открывавшаяся гиперссылка" xfId="637" builtinId="9"/>
    <cellStyle name="Открывавшаяся гиперссылка" xfId="638" builtinId="9"/>
    <cellStyle name="Открывавшаяся гиперссылка" xfId="639" builtinId="9"/>
    <cellStyle name="Открывавшаяся гиперссылка" xfId="640" builtinId="9"/>
    <cellStyle name="Открывавшаяся гиперссылка" xfId="641" builtinId="9"/>
    <cellStyle name="Открывавшаяся гиперссылка" xfId="642" builtinId="9"/>
    <cellStyle name="Открывавшаяся гиперссылка" xfId="643" builtinId="9"/>
    <cellStyle name="Открывавшаяся гиперссылка" xfId="644" builtinId="9"/>
    <cellStyle name="Открывавшаяся гиперссылка" xfId="645" builtinId="9"/>
    <cellStyle name="Открывавшаяся гиперссылка" xfId="646" builtinId="9"/>
    <cellStyle name="Открывавшаяся гиперссылка" xfId="647" builtinId="9"/>
    <cellStyle name="Открывавшаяся гиперссылка" xfId="648" builtinId="9"/>
    <cellStyle name="Открывавшаяся гиперссылка" xfId="649" builtinId="9"/>
    <cellStyle name="Открывавшаяся гиперссылка" xfId="650" builtinId="9"/>
    <cellStyle name="Открывавшаяся гиперссылка" xfId="651" builtinId="9"/>
    <cellStyle name="Открывавшаяся гиперссылка" xfId="652" builtinId="9"/>
    <cellStyle name="Открывавшаяся гиперссылка" xfId="653" builtinId="9"/>
    <cellStyle name="Открывавшаяся гиперссылка" xfId="654" builtinId="9"/>
    <cellStyle name="Открывавшаяся гиперссылка" xfId="655" builtinId="9"/>
    <cellStyle name="Открывавшаяся гиперссылка" xfId="656" builtinId="9"/>
    <cellStyle name="Открывавшаяся гиперссылка" xfId="657" builtinId="9"/>
    <cellStyle name="Открывавшаяся гиперссылка" xfId="658" builtinId="9"/>
    <cellStyle name="Открывавшаяся гиперссылка" xfId="659" builtinId="9"/>
    <cellStyle name="Открывавшаяся гиперссылка" xfId="660" builtinId="9"/>
    <cellStyle name="Открывавшаяся гиперссылка" xfId="661" builtinId="9"/>
    <cellStyle name="Открывавшаяся гиперссылка" xfId="662" builtinId="9"/>
    <cellStyle name="Открывавшаяся гиперссылка" xfId="663" builtinId="9"/>
    <cellStyle name="Открывавшаяся гиперссылка" xfId="664" builtinId="9"/>
    <cellStyle name="Открывавшаяся гиперссылка" xfId="665" builtinId="9"/>
    <cellStyle name="Открывавшаяся гиперссылка" xfId="666" builtinId="9"/>
    <cellStyle name="Открывавшаяся гиперссылка" xfId="667" builtinId="9"/>
    <cellStyle name="Открывавшаяся гиперссылка" xfId="668" builtinId="9"/>
    <cellStyle name="Открывавшаяся гиперссылка" xfId="669" builtinId="9"/>
    <cellStyle name="Открывавшаяся гиперссылка" xfId="670" builtinId="9"/>
    <cellStyle name="Открывавшаяся гиперссылка" xfId="671" builtinId="9"/>
    <cellStyle name="Открывавшаяся гиперссылка" xfId="672" builtinId="9"/>
    <cellStyle name="Открывавшаяся гиперссылка" xfId="673" builtinId="9"/>
    <cellStyle name="Открывавшаяся гиперссылка" xfId="674" builtinId="9"/>
    <cellStyle name="Открывавшаяся гиперссылка" xfId="675" builtinId="9"/>
    <cellStyle name="Открывавшаяся гиперссылка" xfId="676" builtinId="9"/>
    <cellStyle name="Открывавшаяся гиперссылка" xfId="677" builtinId="9"/>
    <cellStyle name="Открывавшаяся гиперссылка" xfId="678" builtinId="9"/>
    <cellStyle name="Открывавшаяся гиперссылка" xfId="679" builtinId="9"/>
    <cellStyle name="Открывавшаяся гиперссылка" xfId="680" builtinId="9"/>
    <cellStyle name="Открывавшаяся гиперссылка" xfId="681" builtinId="9"/>
    <cellStyle name="Открывавшаяся гиперссылка" xfId="682" builtinId="9"/>
    <cellStyle name="Открывавшаяся гиперссылка" xfId="683" builtinId="9"/>
    <cellStyle name="Открывавшаяся гиперссылка" xfId="684" builtinId="9"/>
    <cellStyle name="Открывавшаяся гиперссылка" xfId="685" builtinId="9"/>
    <cellStyle name="Открывавшаяся гиперссылка" xfId="686" builtinId="9"/>
    <cellStyle name="Открывавшаяся гиперссылка" xfId="687" builtinId="9"/>
    <cellStyle name="Открывавшаяся гиперссылка" xfId="688" builtinId="9"/>
    <cellStyle name="Открывавшаяся гиперссылка" xfId="689" builtinId="9"/>
    <cellStyle name="Открывавшаяся гиперссылка" xfId="690" builtinId="9"/>
    <cellStyle name="Открывавшаяся гиперссылка" xfId="691" builtinId="9"/>
    <cellStyle name="Открывавшаяся гиперссылка" xfId="692" builtinId="9"/>
    <cellStyle name="Открывавшаяся гиперссылка" xfId="693" builtinId="9"/>
    <cellStyle name="Открывавшаяся гиперссылка" xfId="694" builtinId="9"/>
    <cellStyle name="Открывавшаяся гиперссылка" xfId="695" builtinId="9"/>
    <cellStyle name="Открывавшаяся гиперссылка" xfId="696" builtinId="9"/>
    <cellStyle name="Открывавшаяся гиперссылка" xfId="697" builtinId="9"/>
    <cellStyle name="Открывавшаяся гиперссылка" xfId="698" builtinId="9"/>
    <cellStyle name="Открывавшаяся гиперссылка" xfId="699" builtinId="9"/>
    <cellStyle name="Открывавшаяся гиперссылка" xfId="700" builtinId="9"/>
    <cellStyle name="Открывавшаяся гиперссылка" xfId="701" builtinId="9"/>
    <cellStyle name="Открывавшаяся гиперссылка" xfId="702" builtinId="9"/>
    <cellStyle name="Открывавшаяся гиперссылка" xfId="703" builtinId="9"/>
    <cellStyle name="Открывавшаяся гиперссылка" xfId="704" builtinId="9"/>
    <cellStyle name="Открывавшаяся гиперссылка" xfId="705" builtinId="9"/>
    <cellStyle name="Открывавшаяся гиперссылка" xfId="706" builtinId="9"/>
    <cellStyle name="Открывавшаяся гиперссылка" xfId="707" builtinId="9"/>
    <cellStyle name="Открывавшаяся гиперссылка" xfId="708" builtinId="9"/>
    <cellStyle name="Открывавшаяся гиперссылка" xfId="709" builtinId="9"/>
    <cellStyle name="Открывавшаяся гиперссылка" xfId="710" builtinId="9"/>
    <cellStyle name="Открывавшаяся гиперссылка" xfId="711" builtinId="9"/>
    <cellStyle name="Открывавшаяся гиперссылка" xfId="712" builtinId="9"/>
    <cellStyle name="Открывавшаяся гиперссылка" xfId="713" builtinId="9"/>
    <cellStyle name="Открывавшаяся гиперссылка" xfId="714" builtinId="9"/>
    <cellStyle name="Открывавшаяся гиперссылка" xfId="715" builtinId="9"/>
    <cellStyle name="Открывавшаяся гиперссылка" xfId="716" builtinId="9"/>
    <cellStyle name="Открывавшаяся гиперссылка" xfId="717" builtinId="9"/>
    <cellStyle name="Открывавшаяся гиперссылка" xfId="718" builtinId="9"/>
    <cellStyle name="Открывавшаяся гиперссылка" xfId="719" builtinId="9"/>
    <cellStyle name="Открывавшаяся гиперссылка" xfId="720" builtinId="9"/>
    <cellStyle name="Открывавшаяся гиперссылка" xfId="721" builtinId="9"/>
    <cellStyle name="Открывавшаяся гиперссылка" xfId="722" builtinId="9"/>
    <cellStyle name="Открывавшаяся гиперссылка" xfId="723" builtinId="9"/>
    <cellStyle name="Открывавшаяся гиперссылка" xfId="724" builtinId="9"/>
    <cellStyle name="Открывавшаяся гиперссылка" xfId="725" builtinId="9"/>
    <cellStyle name="Открывавшаяся гиперссылка" xfId="726" builtinId="9"/>
    <cellStyle name="Открывавшаяся гиперссылка" xfId="727" builtinId="9"/>
    <cellStyle name="Открывавшаяся гиперссылка" xfId="728" builtinId="9"/>
    <cellStyle name="Открывавшаяся гиперссылка" xfId="729" builtinId="9"/>
    <cellStyle name="Открывавшаяся гиперссылка" xfId="730" builtinId="9"/>
    <cellStyle name="Открывавшаяся гиперссылка" xfId="731" builtinId="9"/>
    <cellStyle name="Открывавшаяся гиперссылка" xfId="732" builtinId="9"/>
    <cellStyle name="Открывавшаяся гиперссылка" xfId="733" builtinId="9"/>
    <cellStyle name="Открывавшаяся гиперссылка" xfId="734" builtinId="9"/>
    <cellStyle name="Открывавшаяся гиперссылка" xfId="735" builtinId="9"/>
    <cellStyle name="Открывавшаяся гиперссылка" xfId="736" builtinId="9"/>
    <cellStyle name="Открывавшаяся гиперссылка" xfId="737" builtinId="9"/>
    <cellStyle name="Открывавшаяся гиперссылка" xfId="738" builtinId="9"/>
    <cellStyle name="Открывавшаяся гиперссылка" xfId="739" builtinId="9"/>
    <cellStyle name="Открывавшаяся гиперссылка" xfId="740" builtinId="9"/>
    <cellStyle name="Открывавшаяся гиперссылка" xfId="741" builtinId="9"/>
    <cellStyle name="Открывавшаяся гиперссылка" xfId="742" builtinId="9"/>
    <cellStyle name="Открывавшаяся гиперссылка" xfId="743" builtinId="9"/>
    <cellStyle name="Открывавшаяся гиперссылка" xfId="744" builtinId="9"/>
    <cellStyle name="Открывавшаяся гиперссылка" xfId="745" builtinId="9"/>
    <cellStyle name="Открывавшаяся гиперссылка" xfId="746" builtinId="9"/>
    <cellStyle name="Открывавшаяся гиперссылка" xfId="747" builtinId="9"/>
    <cellStyle name="Открывавшаяся гиперссылка" xfId="748" builtinId="9"/>
    <cellStyle name="Открывавшаяся гиперссылка" xfId="749" builtinId="9"/>
    <cellStyle name="Открывавшаяся гиперссылка" xfId="750" builtinId="9"/>
    <cellStyle name="Открывавшаяся гиперссылка" xfId="751" builtinId="9"/>
    <cellStyle name="Открывавшаяся гиперссылка" xfId="752" builtinId="9"/>
    <cellStyle name="Открывавшаяся гиперссылка" xfId="753" builtinId="9"/>
    <cellStyle name="Открывавшаяся гиперссылка" xfId="754" builtinId="9"/>
    <cellStyle name="Открывавшаяся гиперссылка" xfId="755" builtinId="9"/>
    <cellStyle name="Открывавшаяся гиперссылка" xfId="756" builtinId="9"/>
    <cellStyle name="Открывавшаяся гиперссылка" xfId="757" builtinId="9"/>
    <cellStyle name="Открывавшаяся гиперссылка" xfId="758" builtinId="9"/>
    <cellStyle name="Открывавшаяся гиперссылка" xfId="759" builtinId="9"/>
    <cellStyle name="Открывавшаяся гиперссылка" xfId="760" builtinId="9"/>
    <cellStyle name="Открывавшаяся гиперссылка" xfId="761" builtinId="9"/>
    <cellStyle name="Открывавшаяся гиперссылка" xfId="762" builtinId="9"/>
    <cellStyle name="Открывавшаяся гиперссылка" xfId="763" builtinId="9"/>
    <cellStyle name="Открывавшаяся гиперссылка" xfId="764" builtinId="9"/>
    <cellStyle name="Открывавшаяся гиперссылка" xfId="765" builtinId="9"/>
    <cellStyle name="Открывавшаяся гиперссылка" xfId="766" builtinId="9"/>
    <cellStyle name="Открывавшаяся гиперссылка" xfId="767" builtinId="9"/>
    <cellStyle name="Открывавшаяся гиперссылка" xfId="768" builtinId="9"/>
    <cellStyle name="Открывавшаяся гиперссылка" xfId="769" builtinId="9"/>
    <cellStyle name="Открывавшаяся гиперссылка" xfId="770" builtinId="9"/>
    <cellStyle name="Открывавшаяся гиперссылка" xfId="771" builtinId="9"/>
    <cellStyle name="Открывавшаяся гиперссылка" xfId="772" builtinId="9"/>
    <cellStyle name="Открывавшаяся гиперссылка" xfId="773" builtinId="9"/>
    <cellStyle name="Открывавшаяся гиперссылка" xfId="774" builtinId="9"/>
    <cellStyle name="Открывавшаяся гиперссылка" xfId="775" builtinId="9"/>
    <cellStyle name="Открывавшаяся гиперссылка" xfId="776" builtinId="9"/>
    <cellStyle name="Открывавшаяся гиперссылка" xfId="777" builtinId="9"/>
    <cellStyle name="Открывавшаяся гиперссылка" xfId="778" builtinId="9"/>
    <cellStyle name="Открывавшаяся гиперссылка" xfId="779" builtinId="9"/>
    <cellStyle name="Открывавшаяся гиперссылка" xfId="780" builtinId="9"/>
    <cellStyle name="Открывавшаяся гиперссылка" xfId="781" builtinId="9"/>
    <cellStyle name="Открывавшаяся гиперссылка" xfId="782" builtinId="9"/>
    <cellStyle name="Открывавшаяся гиперссылка" xfId="783" builtinId="9"/>
    <cellStyle name="Открывавшаяся гиперссылка" xfId="784" builtinId="9"/>
    <cellStyle name="Открывавшаяся гиперссылка" xfId="785" builtinId="9"/>
    <cellStyle name="Открывавшаяся гиперссылка" xfId="786" builtinId="9"/>
    <cellStyle name="Открывавшаяся гиперссылка" xfId="787" builtinId="9"/>
    <cellStyle name="Открывавшаяся гиперссылка" xfId="788" builtinId="9"/>
    <cellStyle name="Открывавшаяся гиперссылка" xfId="789" builtinId="9"/>
    <cellStyle name="Открывавшаяся гиперссылка" xfId="790" builtinId="9"/>
    <cellStyle name="Открывавшаяся гиперссылка" xfId="791" builtinId="9"/>
    <cellStyle name="Открывавшаяся гиперссылка" xfId="792" builtinId="9"/>
    <cellStyle name="Открывавшаяся гиперссылка" xfId="793" builtinId="9"/>
    <cellStyle name="Открывавшаяся гиперссылка" xfId="794" builtinId="9"/>
    <cellStyle name="Открывавшаяся гиперссылка" xfId="795" builtinId="9"/>
    <cellStyle name="Открывавшаяся гиперссылка" xfId="796" builtinId="9"/>
    <cellStyle name="Открывавшаяся гиперссылка" xfId="797" builtinId="9"/>
    <cellStyle name="Открывавшаяся гиперссылка" xfId="798" builtinId="9"/>
    <cellStyle name="Открывавшаяся гиперссылка" xfId="799" builtinId="9"/>
    <cellStyle name="Открывавшаяся гиперссылка" xfId="800" builtinId="9"/>
    <cellStyle name="Открывавшаяся гиперссылка" xfId="801" builtinId="9"/>
    <cellStyle name="Открывавшаяся гиперссылка" xfId="802" builtinId="9"/>
    <cellStyle name="Открывавшаяся гиперссылка" xfId="803" builtinId="9"/>
    <cellStyle name="Открывавшаяся гиперссылка" xfId="804" builtinId="9"/>
    <cellStyle name="Открывавшаяся гиперссылка" xfId="805" builtinId="9"/>
    <cellStyle name="Открывавшаяся гиперссылка" xfId="806" builtinId="9"/>
    <cellStyle name="Открывавшаяся гиперссылка" xfId="807" builtinId="9"/>
    <cellStyle name="Открывавшаяся гиперссылка" xfId="808" builtinId="9"/>
    <cellStyle name="Открывавшаяся гиперссылка" xfId="809" builtinId="9"/>
    <cellStyle name="Открывавшаяся гиперссылка" xfId="810" builtinId="9"/>
    <cellStyle name="Открывавшаяся гиперссылка" xfId="811" builtinId="9"/>
    <cellStyle name="Открывавшаяся гиперссылка" xfId="812" builtinId="9"/>
    <cellStyle name="Открывавшаяся гиперссылка" xfId="813" builtinId="9"/>
    <cellStyle name="Открывавшаяся гиперссылка" xfId="814" builtinId="9"/>
    <cellStyle name="Открывавшаяся гиперссылка" xfId="815" builtinId="9"/>
    <cellStyle name="Открывавшаяся гиперссылка" xfId="816" builtinId="9"/>
    <cellStyle name="Открывавшаяся гиперссылка" xfId="817" builtinId="9"/>
    <cellStyle name="Открывавшаяся гиперссылка" xfId="818" builtinId="9"/>
    <cellStyle name="Открывавшаяся гиперссылка" xfId="819" builtinId="9"/>
    <cellStyle name="Открывавшаяся гиперссылка" xfId="820" builtinId="9"/>
    <cellStyle name="Открывавшаяся гиперссылка" xfId="821" builtinId="9"/>
    <cellStyle name="Открывавшаяся гиперссылка" xfId="822" builtinId="9"/>
    <cellStyle name="Открывавшаяся гиперссылка" xfId="823" builtinId="9"/>
    <cellStyle name="Открывавшаяся гиперссылка" xfId="824" builtinId="9"/>
    <cellStyle name="Открывавшаяся гиперссылка" xfId="825" builtinId="9"/>
    <cellStyle name="Открывавшаяся гиперссылка" xfId="826" builtinId="9"/>
    <cellStyle name="Открывавшаяся гиперссылка" xfId="827" builtinId="9"/>
    <cellStyle name="Открывавшаяся гиперссылка" xfId="828" builtinId="9"/>
    <cellStyle name="Открывавшаяся гиперссылка" xfId="829" builtinId="9"/>
    <cellStyle name="Открывавшаяся гиперссылка" xfId="830" builtinId="9"/>
    <cellStyle name="Открывавшаяся гиперссылка" xfId="831" builtinId="9"/>
    <cellStyle name="Открывавшаяся гиперссылка" xfId="832" builtinId="9"/>
    <cellStyle name="Открывавшаяся гиперссылка" xfId="833" builtinId="9"/>
    <cellStyle name="Открывавшаяся гиперссылка" xfId="834" builtinId="9"/>
    <cellStyle name="Открывавшаяся гиперссылка" xfId="835" builtinId="9"/>
    <cellStyle name="Открывавшаяся гиперссылка" xfId="836" builtinId="9"/>
    <cellStyle name="Открывавшаяся гиперссылка" xfId="837" builtinId="9"/>
    <cellStyle name="Открывавшаяся гиперссылка" xfId="838" builtinId="9"/>
    <cellStyle name="Открывавшаяся гиперссылка" xfId="839" builtinId="9"/>
    <cellStyle name="Открывавшаяся гиперссылка" xfId="840" builtinId="9"/>
    <cellStyle name="Открывавшаяся гиперссылка" xfId="841" builtinId="9"/>
    <cellStyle name="Открывавшаяся гиперссылка" xfId="842" builtinId="9"/>
    <cellStyle name="Открывавшаяся гиперссылка" xfId="843" builtinId="9"/>
    <cellStyle name="Открывавшаяся гиперссылка" xfId="844" builtinId="9"/>
    <cellStyle name="Открывавшаяся гиперссылка" xfId="845" builtinId="9"/>
    <cellStyle name="Открывавшаяся гиперссылка" xfId="846" builtinId="9"/>
    <cellStyle name="Открывавшаяся гиперссылка" xfId="847" builtinId="9"/>
    <cellStyle name="Открывавшаяся гиперссылка" xfId="848" builtinId="9"/>
    <cellStyle name="Открывавшаяся гиперссылка" xfId="849" builtinId="9"/>
    <cellStyle name="Открывавшаяся гиперссылка" xfId="850" builtinId="9"/>
    <cellStyle name="Открывавшаяся гиперссылка" xfId="851" builtinId="9"/>
    <cellStyle name="Открывавшаяся гиперссылка" xfId="852" builtinId="9"/>
    <cellStyle name="Открывавшаяся гиперссылка" xfId="853" builtinId="9"/>
    <cellStyle name="Открывавшаяся гиперссылка" xfId="854" builtinId="9"/>
    <cellStyle name="Открывавшаяся гиперссылка" xfId="855" builtinId="9"/>
    <cellStyle name="Открывавшаяся гиперссылка" xfId="856" builtinId="9"/>
    <cellStyle name="Открывавшаяся гиперссылка" xfId="857" builtinId="9"/>
    <cellStyle name="Открывавшаяся гиперссылка" xfId="858" builtinId="9"/>
    <cellStyle name="Открывавшаяся гиперссылка" xfId="859" builtinId="9"/>
    <cellStyle name="Открывавшаяся гиперссылка" xfId="860" builtinId="9"/>
    <cellStyle name="Открывавшаяся гиперссылка" xfId="861" builtinId="9"/>
    <cellStyle name="Открывавшаяся гиперссылка" xfId="862" builtinId="9"/>
    <cellStyle name="Открывавшаяся гиперссылка" xfId="863" builtinId="9"/>
    <cellStyle name="Открывавшаяся гиперссылка" xfId="864" builtinId="9"/>
    <cellStyle name="Открывавшаяся гиперссылка" xfId="865" builtinId="9"/>
    <cellStyle name="Открывавшаяся гиперссылка" xfId="866" builtinId="9"/>
    <cellStyle name="Открывавшаяся гиперссылка" xfId="867" builtinId="9"/>
    <cellStyle name="Открывавшаяся гиперссылка" xfId="868" builtinId="9"/>
    <cellStyle name="Открывавшаяся гиперссылка" xfId="869" builtinId="9"/>
    <cellStyle name="Открывавшаяся гиперссылка" xfId="870" builtinId="9"/>
    <cellStyle name="Открывавшаяся гиперссылка" xfId="871" builtinId="9"/>
    <cellStyle name="Открывавшаяся гиперссылка" xfId="872" builtinId="9"/>
    <cellStyle name="Открывавшаяся гиперссылка" xfId="873" builtinId="9"/>
    <cellStyle name="Открывавшаяся гиперссылка" xfId="874" builtinId="9"/>
    <cellStyle name="Открывавшаяся гиперссылка" xfId="875" builtinId="9"/>
    <cellStyle name="Открывавшаяся гиперссылка" xfId="876" builtinId="9"/>
    <cellStyle name="Открывавшаяся гиперссылка" xfId="877" builtinId="9"/>
    <cellStyle name="Открывавшаяся гиперссылка" xfId="878" builtinId="9"/>
    <cellStyle name="Открывавшаяся гиперссылка" xfId="879" builtinId="9"/>
    <cellStyle name="Открывавшаяся гиперссылка" xfId="880" builtinId="9"/>
    <cellStyle name="Открывавшаяся гиперссылка" xfId="881" builtinId="9"/>
    <cellStyle name="Открывавшаяся гиперссылка" xfId="882" builtinId="9"/>
    <cellStyle name="Открывавшаяся гиперссылка" xfId="883" builtinId="9"/>
    <cellStyle name="Открывавшаяся гиперссылка" xfId="884" builtinId="9"/>
    <cellStyle name="Открывавшаяся гиперссылка" xfId="885" builtinId="9"/>
    <cellStyle name="Открывавшаяся гиперссылка" xfId="886" builtinId="9"/>
    <cellStyle name="Открывавшаяся гиперссылка" xfId="887" builtinId="9"/>
    <cellStyle name="Открывавшаяся гиперссылка" xfId="888" builtinId="9"/>
    <cellStyle name="Открывавшаяся гиперссылка" xfId="889" builtinId="9"/>
    <cellStyle name="Открывавшаяся гиперссылка" xfId="890" builtinId="9"/>
    <cellStyle name="Открывавшаяся гиперссылка" xfId="891" builtinId="9"/>
    <cellStyle name="Открывавшаяся гиперссылка" xfId="892" builtinId="9"/>
    <cellStyle name="Открывавшаяся гиперссылка" xfId="893" builtinId="9"/>
    <cellStyle name="Открывавшаяся гиперссылка" xfId="894" builtinId="9"/>
    <cellStyle name="Открывавшаяся гиперссылка" xfId="895" builtinId="9"/>
    <cellStyle name="Открывавшаяся гиперссылка" xfId="896" builtinId="9"/>
    <cellStyle name="Открывавшаяся гиперссылка" xfId="897" builtinId="9"/>
    <cellStyle name="Открывавшаяся гиперссылка" xfId="898" builtinId="9"/>
    <cellStyle name="Открывавшаяся гиперссылка" xfId="899" builtinId="9"/>
    <cellStyle name="Открывавшаяся гиперссылка" xfId="900" builtinId="9"/>
    <cellStyle name="Открывавшаяся гиперссылка" xfId="901" builtinId="9"/>
    <cellStyle name="Открывавшаяся гиперссылка" xfId="902" builtinId="9"/>
    <cellStyle name="Открывавшаяся гиперссылка" xfId="903" builtinId="9"/>
    <cellStyle name="Открывавшаяся гиперссылка" xfId="904" builtinId="9"/>
    <cellStyle name="Открывавшаяся гиперссылка" xfId="905" builtinId="9"/>
    <cellStyle name="Открывавшаяся гиперссылка" xfId="906" builtinId="9"/>
    <cellStyle name="Открывавшаяся гиперссылка" xfId="907" builtinId="9"/>
    <cellStyle name="Открывавшаяся гиперссылка" xfId="908" builtinId="9"/>
    <cellStyle name="Открывавшаяся гиперссылка" xfId="909" builtinId="9"/>
    <cellStyle name="Открывавшаяся гиперссылка" xfId="910" builtinId="9"/>
    <cellStyle name="Открывавшаяся гиперссылка" xfId="911" builtinId="9"/>
    <cellStyle name="Открывавшаяся гиперссылка" xfId="912" builtinId="9"/>
    <cellStyle name="Открывавшаяся гиперссылка" xfId="913" builtinId="9"/>
    <cellStyle name="Открывавшаяся гиперссылка" xfId="914" builtinId="9"/>
    <cellStyle name="Открывавшаяся гиперссылка" xfId="915" builtinId="9"/>
    <cellStyle name="Открывавшаяся гиперссылка" xfId="916" builtinId="9"/>
    <cellStyle name="Открывавшаяся гиперссылка" xfId="917" builtinId="9"/>
    <cellStyle name="Открывавшаяся гиперссылка" xfId="918" builtinId="9"/>
    <cellStyle name="Открывавшаяся гиперссылка" xfId="919" builtinId="9"/>
    <cellStyle name="Открывавшаяся гиперссылка" xfId="920" builtinId="9"/>
    <cellStyle name="Открывавшаяся гиперссылка" xfId="921" builtinId="9"/>
    <cellStyle name="Открывавшаяся гиперссылка" xfId="922" builtinId="9"/>
    <cellStyle name="Открывавшаяся гиперссылка" xfId="923" builtinId="9"/>
    <cellStyle name="Открывавшаяся гиперссылка" xfId="924" builtinId="9"/>
    <cellStyle name="Открывавшаяся гиперссылка" xfId="925" builtinId="9"/>
    <cellStyle name="Открывавшаяся гиперссылка" xfId="926" builtinId="9"/>
    <cellStyle name="Открывавшаяся гиперссылка" xfId="927" builtinId="9"/>
    <cellStyle name="Открывавшаяся гиперссылка" xfId="928" builtinId="9"/>
    <cellStyle name="Открывавшаяся гиперссылка" xfId="929" builtinId="9"/>
    <cellStyle name="Открывавшаяся гиперссылка" xfId="930" builtinId="9"/>
    <cellStyle name="Открывавшаяся гиперссылка" xfId="931" builtinId="9"/>
    <cellStyle name="Открывавшаяся гиперссылка" xfId="932" builtinId="9"/>
    <cellStyle name="Открывавшаяся гиперссылка" xfId="933" builtinId="9"/>
    <cellStyle name="Открывавшаяся гиперссылка" xfId="934" builtinId="9"/>
    <cellStyle name="Открывавшаяся гиперссылка" xfId="935" builtinId="9"/>
    <cellStyle name="Открывавшаяся гиперссылка" xfId="936" builtinId="9"/>
    <cellStyle name="Открывавшаяся гиперссылка" xfId="937" builtinId="9"/>
    <cellStyle name="Открывавшаяся гиперссылка" xfId="938" builtinId="9"/>
    <cellStyle name="Открывавшаяся гиперссылка" xfId="939" builtinId="9"/>
    <cellStyle name="Открывавшаяся гиперссылка" xfId="940" builtinId="9"/>
    <cellStyle name="Открывавшаяся гиперссылка" xfId="941" builtinId="9"/>
    <cellStyle name="Открывавшаяся гиперссылка" xfId="942" builtinId="9"/>
    <cellStyle name="Открывавшаяся гиперссылка" xfId="943" builtinId="9"/>
    <cellStyle name="Открывавшаяся гиперссылка" xfId="944" builtinId="9"/>
    <cellStyle name="Открывавшаяся гиперссылка" xfId="945" builtinId="9"/>
    <cellStyle name="Открывавшаяся гиперссылка" xfId="946" builtinId="9"/>
    <cellStyle name="Открывавшаяся гиперссылка" xfId="947" builtinId="9"/>
    <cellStyle name="Открывавшаяся гиперссылка" xfId="948" builtinId="9"/>
    <cellStyle name="Открывавшаяся гиперссылка" xfId="949" builtinId="9"/>
    <cellStyle name="Открывавшаяся гиперссылка" xfId="950" builtinId="9"/>
    <cellStyle name="Открывавшаяся гиперссылка" xfId="951" builtinId="9"/>
    <cellStyle name="Открывавшаяся гиперссылка" xfId="952" builtinId="9"/>
    <cellStyle name="Открывавшаяся гиперссылка" xfId="953" builtinId="9"/>
    <cellStyle name="Открывавшаяся гиперссылка" xfId="954" builtinId="9"/>
    <cellStyle name="Открывавшаяся гиперссылка" xfId="955" builtinId="9"/>
    <cellStyle name="Открывавшаяся гиперссылка" xfId="956" builtinId="9"/>
    <cellStyle name="Открывавшаяся гиперссылка" xfId="957" builtinId="9"/>
    <cellStyle name="Открывавшаяся гиперссылка" xfId="958" builtinId="9"/>
    <cellStyle name="Открывавшаяся гиперссылка" xfId="959" builtinId="9"/>
    <cellStyle name="Открывавшаяся гиперссылка" xfId="960" builtinId="9"/>
    <cellStyle name="Открывавшаяся гиперссылка" xfId="961" builtinId="9"/>
    <cellStyle name="Открывавшаяся гиперссылка" xfId="962" builtinId="9"/>
    <cellStyle name="Открывавшаяся гиперссылка" xfId="963" builtinId="9"/>
    <cellStyle name="Открывавшаяся гиперссылка" xfId="964" builtinId="9"/>
    <cellStyle name="Открывавшаяся гиперссылка" xfId="965" builtinId="9"/>
    <cellStyle name="Открывавшаяся гиперссылка" xfId="966" builtinId="9"/>
    <cellStyle name="Открывавшаяся гиперссылка" xfId="967" builtinId="9"/>
    <cellStyle name="Открывавшаяся гиперссылка" xfId="968" builtinId="9"/>
    <cellStyle name="Открывавшаяся гиперссылка" xfId="969" builtinId="9"/>
    <cellStyle name="Открывавшаяся гиперссылка" xfId="970" builtinId="9"/>
    <cellStyle name="Открывавшаяся гиперссылка" xfId="971" builtinId="9"/>
    <cellStyle name="Открывавшаяся гиперссылка" xfId="972" builtinId="9"/>
    <cellStyle name="Открывавшаяся гиперссылка" xfId="973" builtinId="9"/>
    <cellStyle name="Открывавшаяся гиперссылка" xfId="974" builtinId="9"/>
    <cellStyle name="Открывавшаяся гиперссылка" xfId="975" builtinId="9"/>
    <cellStyle name="Открывавшаяся гиперссылка" xfId="976" builtinId="9"/>
    <cellStyle name="Открывавшаяся гиперссылка" xfId="977" builtinId="9"/>
    <cellStyle name="Открывавшаяся гиперссылка" xfId="978" builtinId="9"/>
    <cellStyle name="Открывавшаяся гиперссылка" xfId="979" builtinId="9"/>
    <cellStyle name="Открывавшаяся гиперссылка" xfId="980" builtinId="9"/>
    <cellStyle name="Открывавшаяся гиперссылка" xfId="981" builtinId="9"/>
    <cellStyle name="Открывавшаяся гиперссылка" xfId="982" builtinId="9"/>
    <cellStyle name="Открывавшаяся гиперссылка" xfId="983" builtinId="9"/>
    <cellStyle name="Открывавшаяся гиперссылка" xfId="984" builtinId="9"/>
    <cellStyle name="Открывавшаяся гиперссылка" xfId="985" builtinId="9"/>
    <cellStyle name="Открывавшаяся гиперссылка" xfId="986" builtinId="9"/>
    <cellStyle name="Открывавшаяся гиперссылка" xfId="987" builtinId="9"/>
    <cellStyle name="Открывавшаяся гиперссылка" xfId="988" builtinId="9"/>
    <cellStyle name="Открывавшаяся гиперссылка" xfId="989" builtinId="9"/>
    <cellStyle name="Открывавшаяся гиперссылка" xfId="990" builtinId="9"/>
    <cellStyle name="Открывавшаяся гиперссылка" xfId="991" builtinId="9"/>
    <cellStyle name="Открывавшаяся гиперссылка" xfId="992" builtinId="9"/>
    <cellStyle name="Открывавшаяся гиперссылка" xfId="993" builtinId="9"/>
    <cellStyle name="Открывавшаяся гиперссылка" xfId="994" builtinId="9"/>
    <cellStyle name="Открывавшаяся гиперссылка" xfId="995" builtinId="9"/>
    <cellStyle name="Открывавшаяся гиперссылка" xfId="996" builtinId="9"/>
    <cellStyle name="Открывавшаяся гиперссылка" xfId="997" builtinId="9"/>
    <cellStyle name="Открывавшаяся гиперссылка" xfId="998" builtinId="9"/>
    <cellStyle name="Открывавшаяся гиперссылка" xfId="999" builtinId="9"/>
    <cellStyle name="Открывавшаяся гиперссылка" xfId="1000" builtinId="9"/>
    <cellStyle name="Открывавшаяся гиперссылка" xfId="1001" builtinId="9"/>
    <cellStyle name="Открывавшаяся гиперссылка" xfId="1002" builtinId="9"/>
    <cellStyle name="Открывавшаяся гиперссылка" xfId="1003" builtinId="9"/>
    <cellStyle name="Открывавшаяся гиперссылка" xfId="1004" builtinId="9"/>
    <cellStyle name="Открывавшаяся гиперссылка" xfId="1005" builtinId="9"/>
    <cellStyle name="Открывавшаяся гиперссылка" xfId="1006" builtinId="9"/>
    <cellStyle name="Открывавшаяся гиперссылка" xfId="1007" builtinId="9"/>
    <cellStyle name="Открывавшаяся гиперссылка" xfId="1008" builtinId="9"/>
    <cellStyle name="Открывавшаяся гиперссылка" xfId="1009" builtinId="9"/>
    <cellStyle name="Открывавшаяся гиперссылка" xfId="1010" builtinId="9"/>
    <cellStyle name="Открывавшаяся гиперссылка" xfId="1011" builtinId="9"/>
    <cellStyle name="Открывавшаяся гиперссылка" xfId="1012" builtinId="9"/>
    <cellStyle name="Открывавшаяся гиперссылка" xfId="1013" builtinId="9"/>
    <cellStyle name="Открывавшаяся гиперссылка" xfId="1014" builtinId="9"/>
    <cellStyle name="Открывавшаяся гиперссылка" xfId="1015" builtinId="9"/>
    <cellStyle name="Открывавшаяся гиперссылка" xfId="1016" builtinId="9"/>
    <cellStyle name="Открывавшаяся гиперссылка" xfId="1017" builtinId="9"/>
    <cellStyle name="Открывавшаяся гиперссылка" xfId="1018" builtinId="9"/>
    <cellStyle name="Открывавшаяся гиперссылка" xfId="1019" builtinId="9"/>
    <cellStyle name="Открывавшаяся гиперссылка" xfId="1020" builtinId="9"/>
    <cellStyle name="Открывавшаяся гиперссылка" xfId="1021" builtinId="9"/>
    <cellStyle name="Открывавшаяся гиперссылка" xfId="1022" builtinId="9"/>
    <cellStyle name="Открывавшаяся гиперссылка" xfId="1023" builtinId="9"/>
    <cellStyle name="Открывавшаяся гиперссылка" xfId="1024" builtinId="9"/>
    <cellStyle name="Открывавшаяся гиперссылка" xfId="1025" builtinId="9"/>
    <cellStyle name="Открывавшаяся гиперссылка" xfId="1026" builtinId="9"/>
    <cellStyle name="Открывавшаяся гиперссылка" xfId="1027" builtinId="9"/>
    <cellStyle name="Открывавшаяся гиперссылка" xfId="1028" builtinId="9"/>
    <cellStyle name="Открывавшаяся гиперссылка" xfId="1029" builtinId="9"/>
    <cellStyle name="Открывавшаяся гиперссылка" xfId="1030" builtinId="9"/>
    <cellStyle name="Открывавшаяся гиперссылка" xfId="1031" builtinId="9"/>
    <cellStyle name="Открывавшаяся гиперссылка" xfId="1032" builtinId="9"/>
    <cellStyle name="Открывавшаяся гиперссылка" xfId="1033" builtinId="9"/>
    <cellStyle name="Открывавшаяся гиперссылка" xfId="1034" builtinId="9"/>
    <cellStyle name="Открывавшаяся гиперссылка" xfId="1035" builtinId="9"/>
    <cellStyle name="Открывавшаяся гиперссылка" xfId="1036" builtinId="9"/>
    <cellStyle name="Открывавшаяся гиперссылка" xfId="1037" builtinId="9"/>
    <cellStyle name="Открывавшаяся гиперссылка" xfId="1038" builtinId="9"/>
    <cellStyle name="Открывавшаяся гиперссылка" xfId="1039" builtinId="9"/>
    <cellStyle name="Открывавшаяся гиперссылка" xfId="1040" builtinId="9"/>
    <cellStyle name="Открывавшаяся гиперссылка" xfId="1041" builtinId="9"/>
    <cellStyle name="Открывавшаяся гиперссылка" xfId="1042" builtinId="9"/>
    <cellStyle name="Открывавшаяся гиперссылка" xfId="1043" builtinId="9"/>
    <cellStyle name="Открывавшаяся гиперссылка" xfId="1044" builtinId="9"/>
    <cellStyle name="Открывавшаяся гиперссылка" xfId="1045" builtinId="9"/>
    <cellStyle name="Открывавшаяся гиперссылка" xfId="1046" builtinId="9"/>
    <cellStyle name="Открывавшаяся гиперссылка" xfId="1047" builtinId="9"/>
    <cellStyle name="Открывавшаяся гиперссылка" xfId="1048" builtinId="9"/>
    <cellStyle name="Открывавшаяся гиперссылка" xfId="1049" builtinId="9"/>
    <cellStyle name="Открывавшаяся гиперссылка" xfId="1050" builtinId="9"/>
    <cellStyle name="Открывавшаяся гиперссылка" xfId="1051" builtinId="9"/>
    <cellStyle name="Открывавшаяся гиперссылка" xfId="1052" builtinId="9"/>
    <cellStyle name="Открывавшаяся гиперссылка" xfId="1053" builtinId="9"/>
    <cellStyle name="Открывавшаяся гиперссылка" xfId="1054" builtinId="9"/>
    <cellStyle name="Открывавшаяся гиперссылка" xfId="1055" builtinId="9"/>
    <cellStyle name="Открывавшаяся гиперссылка" xfId="1056" builtinId="9"/>
    <cellStyle name="Открывавшаяся гиперссылка" xfId="1057" builtinId="9"/>
    <cellStyle name="Открывавшаяся гиперссылка" xfId="1058" builtinId="9"/>
    <cellStyle name="Открывавшаяся гиперссылка" xfId="1059" builtinId="9"/>
    <cellStyle name="Открывавшаяся гиперссылка" xfId="1060" builtinId="9"/>
    <cellStyle name="Открывавшаяся гиперссылка" xfId="1061" builtinId="9"/>
    <cellStyle name="Открывавшаяся гиперссылка" xfId="1062" builtinId="9"/>
    <cellStyle name="Открывавшаяся гиперссылка" xfId="1063" builtinId="9"/>
    <cellStyle name="Открывавшаяся гиперссылка" xfId="1064" builtinId="9"/>
    <cellStyle name="Открывавшаяся гиперссылка" xfId="1065" builtinId="9"/>
    <cellStyle name="Открывавшаяся гиперссылка" xfId="1066" builtinId="9"/>
    <cellStyle name="Открывавшаяся гиперссылка" xfId="1067" builtinId="9"/>
    <cellStyle name="Открывавшаяся гиперссылка" xfId="1068" builtinId="9"/>
    <cellStyle name="Открывавшаяся гиперссылка" xfId="1069" builtinId="9"/>
    <cellStyle name="Открывавшаяся гиперссылка" xfId="1070" builtinId="9"/>
    <cellStyle name="Открывавшаяся гиперссылка" xfId="1071" builtinId="9"/>
    <cellStyle name="Открывавшаяся гиперссылка" xfId="1072" builtinId="9"/>
    <cellStyle name="Открывавшаяся гиперссылка" xfId="1073" builtinId="9"/>
    <cellStyle name="Открывавшаяся гиперссылка" xfId="1074" builtinId="9"/>
    <cellStyle name="Открывавшаяся гиперссылка" xfId="1075" builtinId="9"/>
    <cellStyle name="Открывавшаяся гиперссылка" xfId="1076" builtinId="9"/>
    <cellStyle name="Открывавшаяся гиперссылка" xfId="1077" builtinId="9"/>
    <cellStyle name="Открывавшаяся гиперссылка" xfId="1078" builtinId="9"/>
    <cellStyle name="Открывавшаяся гиперссылка" xfId="1079" builtinId="9"/>
    <cellStyle name="Открывавшаяся гиперссылка" xfId="1080" builtinId="9"/>
    <cellStyle name="Открывавшаяся гиперссылка" xfId="1081" builtinId="9"/>
    <cellStyle name="Открывавшаяся гиперссылка" xfId="1082" builtinId="9"/>
    <cellStyle name="Открывавшаяся гиперссылка" xfId="1083" builtinId="9"/>
    <cellStyle name="Открывавшаяся гиперссылка" xfId="1084" builtinId="9"/>
    <cellStyle name="Открывавшаяся гиперссылка" xfId="1085" builtinId="9"/>
    <cellStyle name="Открывавшаяся гиперссылка" xfId="1086" builtinId="9"/>
    <cellStyle name="Открывавшаяся гиперссылка" xfId="1087" builtinId="9"/>
    <cellStyle name="Открывавшаяся гиперссылка" xfId="1088" builtinId="9"/>
    <cellStyle name="Открывавшаяся гиперссылка" xfId="1089" builtinId="9"/>
    <cellStyle name="Открывавшаяся гиперссылка" xfId="1090" builtinId="9"/>
    <cellStyle name="Открывавшаяся гиперссылка" xfId="1091" builtinId="9"/>
    <cellStyle name="Открывавшаяся гиперссылка" xfId="1092" builtinId="9"/>
    <cellStyle name="Открывавшаяся гиперссылка" xfId="1093" builtinId="9"/>
    <cellStyle name="Открывавшаяся гиперссылка" xfId="1094" builtinId="9"/>
    <cellStyle name="Открывавшаяся гиперссылка" xfId="1095" builtinId="9"/>
    <cellStyle name="Открывавшаяся гиперссылка" xfId="1096" builtinId="9"/>
    <cellStyle name="Открывавшаяся гиперссылка" xfId="1097" builtinId="9"/>
    <cellStyle name="Открывавшаяся гиперссылка" xfId="1098" builtinId="9"/>
    <cellStyle name="Открывавшаяся гиперссылка" xfId="1099" builtinId="9"/>
    <cellStyle name="Открывавшаяся гиперссылка" xfId="1100" builtinId="9"/>
    <cellStyle name="Открывавшаяся гиперссылка" xfId="1101" builtinId="9"/>
    <cellStyle name="Открывавшаяся гиперссылка" xfId="1102" builtinId="9"/>
    <cellStyle name="Открывавшаяся гиперссылка" xfId="1103" builtinId="9"/>
    <cellStyle name="Открывавшаяся гиперссылка" xfId="1104" builtinId="9"/>
    <cellStyle name="Открывавшаяся гиперссылка" xfId="1105" builtinId="9"/>
    <cellStyle name="Открывавшаяся гиперссылка" xfId="1106" builtinId="9"/>
    <cellStyle name="Открывавшаяся гиперссылка" xfId="1107" builtinId="9"/>
    <cellStyle name="Открывавшаяся гиперссылка" xfId="1108" builtinId="9"/>
    <cellStyle name="Открывавшаяся гиперссылка" xfId="1109" builtinId="9"/>
    <cellStyle name="Открывавшаяся гиперссылка" xfId="1110" builtinId="9"/>
    <cellStyle name="Открывавшаяся гиперссылка" xfId="1111" builtinId="9"/>
    <cellStyle name="Открывавшаяся гиперссылка" xfId="1112" builtinId="9"/>
    <cellStyle name="Открывавшаяся гиперссылка" xfId="1113" builtinId="9"/>
    <cellStyle name="Открывавшаяся гиперссылка" xfId="1114" builtinId="9"/>
    <cellStyle name="Открывавшаяся гиперссылка" xfId="1115" builtinId="9"/>
    <cellStyle name="Открывавшаяся гиперссылка" xfId="1116" builtinId="9"/>
    <cellStyle name="Открывавшаяся гиперссылка" xfId="1117" builtinId="9"/>
    <cellStyle name="Открывавшаяся гиперссылка" xfId="1118" builtinId="9"/>
    <cellStyle name="Открывавшаяся гиперссылка" xfId="1119" builtinId="9"/>
    <cellStyle name="Открывавшаяся гиперссылка" xfId="1120" builtinId="9"/>
    <cellStyle name="Открывавшаяся гиперссылка" xfId="1121" builtinId="9"/>
    <cellStyle name="Открывавшаяся гиперссылка" xfId="1122" builtinId="9"/>
    <cellStyle name="Открывавшаяся гиперссылка" xfId="1123" builtinId="9"/>
    <cellStyle name="Открывавшаяся гиперссылка" xfId="1124" builtinId="9"/>
    <cellStyle name="Открывавшаяся гиперссылка" xfId="1125" builtinId="9"/>
    <cellStyle name="Открывавшаяся гиперссылка" xfId="1126" builtinId="9"/>
    <cellStyle name="Открывавшаяся гиперссылка" xfId="1127" builtinId="9"/>
    <cellStyle name="Открывавшаяся гиперссылка" xfId="1128" builtinId="9"/>
    <cellStyle name="Открывавшаяся гиперссылка" xfId="1129" builtinId="9"/>
    <cellStyle name="Открывавшаяся гиперссылка" xfId="1130" builtinId="9"/>
    <cellStyle name="Открывавшаяся гиперссылка" xfId="1131" builtinId="9"/>
    <cellStyle name="Открывавшаяся гиперссылка" xfId="1132" builtinId="9"/>
    <cellStyle name="Открывавшаяся гиперссылка" xfId="1133" builtinId="9"/>
    <cellStyle name="Открывавшаяся гиперссылка" xfId="1134" builtinId="9"/>
    <cellStyle name="Открывавшаяся гиперссылка" xfId="1135" builtinId="9"/>
    <cellStyle name="Открывавшаяся гиперссылка" xfId="1136" builtinId="9"/>
    <cellStyle name="Открывавшаяся гиперссылка" xfId="1137" builtinId="9"/>
    <cellStyle name="Открывавшаяся гиперссылка" xfId="1138" builtinId="9"/>
    <cellStyle name="Открывавшаяся гиперссылка" xfId="1139" builtinId="9"/>
    <cellStyle name="Открывавшаяся гиперссылка" xfId="1140" builtinId="9"/>
    <cellStyle name="Открывавшаяся гиперссылка" xfId="1141" builtinId="9"/>
    <cellStyle name="Открывавшаяся гиперссылка" xfId="1142" builtinId="9"/>
    <cellStyle name="Открывавшаяся гиперссылка" xfId="1143" builtinId="9"/>
    <cellStyle name="Открывавшаяся гиперссылка" xfId="1144" builtinId="9"/>
    <cellStyle name="Открывавшаяся гиперссылка" xfId="1145" builtinId="9"/>
    <cellStyle name="Открывавшаяся гиперссылка" xfId="1146" builtinId="9"/>
    <cellStyle name="Открывавшаяся гиперссылка" xfId="1147" builtinId="9"/>
    <cellStyle name="Открывавшаяся гиперссылка" xfId="1148" builtinId="9"/>
    <cellStyle name="Открывавшаяся гиперссылка" xfId="1149" builtinId="9"/>
    <cellStyle name="Открывавшаяся гиперссылка" xfId="1150" builtinId="9"/>
    <cellStyle name="Открывавшаяся гиперссылка" xfId="1151" builtinId="9"/>
    <cellStyle name="Открывавшаяся гиперссылка" xfId="1152" builtinId="9"/>
    <cellStyle name="Открывавшаяся гиперссылка" xfId="1153" builtinId="9"/>
    <cellStyle name="Открывавшаяся гиперссылка" xfId="1154" builtinId="9"/>
    <cellStyle name="Открывавшаяся гиперссылка" xfId="1155" builtinId="9"/>
    <cellStyle name="Открывавшаяся гиперссылка" xfId="1156" builtinId="9"/>
    <cellStyle name="Открывавшаяся гиперссылка" xfId="1157" builtinId="9"/>
    <cellStyle name="Открывавшаяся гиперссылка" xfId="1158" builtinId="9"/>
    <cellStyle name="Открывавшаяся гиперссылка" xfId="1159" builtinId="9"/>
    <cellStyle name="Открывавшаяся гиперссылка" xfId="1160" builtinId="9"/>
    <cellStyle name="Открывавшаяся гиперссылка" xfId="1161" builtinId="9"/>
    <cellStyle name="Открывавшаяся гиперссылка" xfId="1162" builtinId="9"/>
    <cellStyle name="Открывавшаяся гиперссылка" xfId="1163" builtinId="9"/>
    <cellStyle name="Открывавшаяся гиперссылка" xfId="1164" builtinId="9"/>
    <cellStyle name="Открывавшаяся гиперссылка" xfId="1165" builtinId="9"/>
    <cellStyle name="Открывавшаяся гиперссылка" xfId="1166" builtinId="9"/>
    <cellStyle name="Открывавшаяся гиперссылка" xfId="1167" builtinId="9"/>
    <cellStyle name="Открывавшаяся гиперссылка" xfId="1168" builtinId="9"/>
    <cellStyle name="Открывавшаяся гиперссылка" xfId="1169" builtinId="9"/>
    <cellStyle name="Открывавшаяся гиперссылка" xfId="1170" builtinId="9"/>
    <cellStyle name="Открывавшаяся гиперссылка" xfId="1171" builtinId="9"/>
    <cellStyle name="Открывавшаяся гиперссылка" xfId="1172" builtinId="9"/>
    <cellStyle name="Открывавшаяся гиперссылка" xfId="1173" builtinId="9"/>
    <cellStyle name="Открывавшаяся гиперссылка" xfId="1174" builtinId="9"/>
    <cellStyle name="Открывавшаяся гиперссылка" xfId="1175" builtinId="9"/>
    <cellStyle name="Открывавшаяся гиперссылка" xfId="1176" builtinId="9"/>
    <cellStyle name="Открывавшаяся гиперссылка" xfId="1177" builtinId="9"/>
    <cellStyle name="Открывавшаяся гиперссылка" xfId="1178" builtinId="9"/>
    <cellStyle name="Открывавшаяся гиперссылка" xfId="1179" builtinId="9"/>
    <cellStyle name="Открывавшаяся гиперссылка" xfId="1180" builtinId="9"/>
    <cellStyle name="Открывавшаяся гиперссылка" xfId="1181" builtinId="9"/>
    <cellStyle name="Открывавшаяся гиперссылка" xfId="1182" builtinId="9"/>
    <cellStyle name="Открывавшаяся гиперссылка" xfId="1183" builtinId="9"/>
    <cellStyle name="Открывавшаяся гиперссылка" xfId="1184" builtinId="9"/>
    <cellStyle name="Открывавшаяся гиперссылка" xfId="1185" builtinId="9"/>
    <cellStyle name="Открывавшаяся гиперссылка" xfId="1186" builtinId="9"/>
    <cellStyle name="Открывавшаяся гиперссылка" xfId="1187" builtinId="9"/>
    <cellStyle name="Открывавшаяся гиперссылка" xfId="1188" builtinId="9"/>
    <cellStyle name="Открывавшаяся гиперссылка" xfId="1189" builtinId="9"/>
    <cellStyle name="Открывавшаяся гиперссылка" xfId="1190" builtinId="9"/>
    <cellStyle name="Открывавшаяся гиперссылка" xfId="1191" builtinId="9"/>
    <cellStyle name="Открывавшаяся гиперссылка" xfId="1192" builtinId="9"/>
    <cellStyle name="Открывавшаяся гиперссылка" xfId="1193" builtinId="9"/>
    <cellStyle name="Открывавшаяся гиперссылка" xfId="1194" builtinId="9"/>
    <cellStyle name="Открывавшаяся гиперссылка" xfId="1195" builtinId="9"/>
    <cellStyle name="Открывавшаяся гиперссылка" xfId="1196" builtinId="9"/>
    <cellStyle name="Открывавшаяся гиперссылка" xfId="1197" builtinId="9"/>
    <cellStyle name="Открывавшаяся гиперссылка" xfId="1198" builtinId="9"/>
    <cellStyle name="Открывавшаяся гиперссылка" xfId="1199" builtinId="9"/>
    <cellStyle name="Открывавшаяся гиперссылка" xfId="1200" builtinId="9"/>
    <cellStyle name="Открывавшаяся гиперссылка" xfId="1201" builtinId="9"/>
    <cellStyle name="Открывавшаяся гиперссылка" xfId="1202" builtinId="9"/>
    <cellStyle name="Открывавшаяся гиперссылка" xfId="1203" builtinId="9"/>
    <cellStyle name="Открывавшаяся гиперссылка" xfId="1204" builtinId="9"/>
    <cellStyle name="Открывавшаяся гиперссылка" xfId="1205" builtinId="9"/>
    <cellStyle name="Открывавшаяся гиперссылка" xfId="1206" builtinId="9"/>
    <cellStyle name="Открывавшаяся гиперссылка" xfId="1207" builtinId="9"/>
    <cellStyle name="Открывавшаяся гиперссылка" xfId="1208" builtinId="9"/>
    <cellStyle name="Открывавшаяся гиперссылка" xfId="1209" builtinId="9"/>
    <cellStyle name="Открывавшаяся гиперссылка" xfId="1210" builtinId="9"/>
    <cellStyle name="Открывавшаяся гиперссылка" xfId="1211" builtinId="9"/>
    <cellStyle name="Открывавшаяся гиперссылка" xfId="1212" builtinId="9"/>
    <cellStyle name="Открывавшаяся гиперссылка" xfId="1213" builtinId="9"/>
    <cellStyle name="Открывавшаяся гиперссылка" xfId="1214" builtinId="9"/>
    <cellStyle name="Открывавшаяся гиперссылка" xfId="1215" builtinId="9"/>
    <cellStyle name="Открывавшаяся гиперссылка" xfId="1216" builtinId="9"/>
    <cellStyle name="Открывавшаяся гиперссылка" xfId="1217" builtinId="9"/>
    <cellStyle name="Открывавшаяся гиперссылка" xfId="1218" builtinId="9"/>
    <cellStyle name="Открывавшаяся гиперссылка" xfId="1219" builtinId="9"/>
    <cellStyle name="Открывавшаяся гиперссылка" xfId="1220" builtinId="9"/>
    <cellStyle name="Открывавшаяся гиперссылка" xfId="1221" builtinId="9"/>
    <cellStyle name="Открывавшаяся гиперссылка" xfId="1222" builtinId="9"/>
    <cellStyle name="Открывавшаяся гиперссылка" xfId="1223" builtinId="9"/>
    <cellStyle name="Открывавшаяся гиперссылка" xfId="1224" builtinId="9"/>
    <cellStyle name="Открывавшаяся гиперссылка" xfId="1225" builtinId="9"/>
    <cellStyle name="Открывавшаяся гиперссылка" xfId="1226" builtin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50800</xdr:rowOff>
    </xdr:from>
    <xdr:to>
      <xdr:col>0</xdr:col>
      <xdr:colOff>1257299</xdr:colOff>
      <xdr:row>8</xdr:row>
      <xdr:rowOff>88900</xdr:rowOff>
    </xdr:to>
    <xdr:pic>
      <xdr:nvPicPr>
        <xdr:cNvPr id="560788721" name="Рисунок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50800"/>
          <a:ext cx="1257300" cy="16637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50800</xdr:rowOff>
    </xdr:from>
    <xdr:to>
      <xdr:col>0</xdr:col>
      <xdr:colOff>1257299</xdr:colOff>
      <xdr:row>8</xdr:row>
      <xdr:rowOff>88900</xdr:rowOff>
    </xdr:to>
    <xdr:pic>
      <xdr:nvPicPr>
        <xdr:cNvPr id="3" name="Рисунок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50800"/>
          <a:ext cx="1257300" cy="16637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50798</xdr:rowOff>
    </xdr:from>
    <xdr:to>
      <xdr:col>0</xdr:col>
      <xdr:colOff>1257298</xdr:colOff>
      <xdr:row>8</xdr:row>
      <xdr:rowOff>88898</xdr:rowOff>
    </xdr:to>
    <xdr:pic>
      <xdr:nvPicPr>
        <xdr:cNvPr id="381043516" name="Рисунок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50798"/>
          <a:ext cx="1257298" cy="1663698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50799</xdr:rowOff>
    </xdr:from>
    <xdr:to>
      <xdr:col>0</xdr:col>
      <xdr:colOff>1257299</xdr:colOff>
      <xdr:row>8</xdr:row>
      <xdr:rowOff>88899</xdr:rowOff>
    </xdr:to>
    <xdr:pic>
      <xdr:nvPicPr>
        <xdr:cNvPr id="222722118" name="Рисунок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50799"/>
          <a:ext cx="1257299" cy="166369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50798</xdr:rowOff>
    </xdr:from>
    <xdr:to>
      <xdr:col>0</xdr:col>
      <xdr:colOff>1257298</xdr:colOff>
      <xdr:row>8</xdr:row>
      <xdr:rowOff>88898</xdr:rowOff>
    </xdr:to>
    <xdr:pic>
      <xdr:nvPicPr>
        <xdr:cNvPr id="2078703071" name="Рисунок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0" y="50798"/>
          <a:ext cx="1257298" cy="1663698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1" activeCellId="0" sqref="E11"/>
    </sheetView>
  </sheetViews>
  <sheetFormatPr baseColWidth="10" defaultColWidth="10" defaultRowHeight="16.5"/>
  <cols>
    <col customWidth="1" min="1" max="1" width="62.832000000000001"/>
  </cols>
  <sheetData>
    <row r="1" ht="16.5"/>
    <row r="2" ht="16.5">
      <c r="A2" s="1"/>
      <c r="B2" s="2"/>
      <c r="C2" s="2"/>
      <c r="D2" s="2"/>
    </row>
    <row r="3" ht="16.5">
      <c r="A3" s="3"/>
      <c r="B3" s="2"/>
      <c r="C3" s="2"/>
      <c r="D3" s="2"/>
    </row>
    <row r="4" ht="16.5">
      <c r="A4" s="3"/>
      <c r="B4" s="2"/>
      <c r="C4" s="2"/>
      <c r="D4" s="2"/>
    </row>
    <row r="5" ht="16.5">
      <c r="A5" s="3"/>
      <c r="B5" s="2"/>
      <c r="C5" s="2"/>
      <c r="D5" s="2"/>
    </row>
    <row r="6" ht="16.5">
      <c r="A6" s="3"/>
      <c r="B6" s="2"/>
      <c r="C6" s="2"/>
      <c r="D6" s="2"/>
    </row>
    <row r="7" ht="16.5">
      <c r="A7" s="3"/>
      <c r="B7" s="2"/>
      <c r="C7" s="2"/>
      <c r="D7" s="2"/>
    </row>
    <row r="8" ht="16.5">
      <c r="A8" s="3"/>
      <c r="B8" s="2"/>
      <c r="C8" s="2"/>
      <c r="D8" s="2"/>
    </row>
    <row r="9" ht="16.5">
      <c r="A9" s="3"/>
      <c r="B9" s="2"/>
      <c r="C9" s="2"/>
      <c r="D9" s="2"/>
    </row>
    <row r="10" ht="16.5">
      <c r="A10" s="3"/>
      <c r="B10" s="2"/>
      <c r="C10" s="2"/>
      <c r="D10" s="2"/>
    </row>
    <row r="11" ht="16.5">
      <c r="A11" s="4"/>
      <c r="B11" s="3"/>
      <c r="C11" s="3"/>
      <c r="D11" s="2"/>
    </row>
    <row r="12" ht="16.5">
      <c r="A12" s="4"/>
      <c r="B12" s="3"/>
      <c r="C12" s="3"/>
      <c r="D12" s="2"/>
    </row>
    <row r="13" ht="49.5">
      <c r="A13" s="5" t="s">
        <v>0</v>
      </c>
      <c r="B13" s="6" t="s">
        <v>1</v>
      </c>
      <c r="C13" s="6"/>
      <c r="D13" s="7" t="s">
        <v>2</v>
      </c>
    </row>
    <row r="14" ht="23.25">
      <c r="A14" s="8" t="s">
        <v>3</v>
      </c>
      <c r="B14" s="3"/>
      <c r="C14" s="3"/>
      <c r="D14" s="3"/>
    </row>
    <row r="15" ht="16.5">
      <c r="A15" s="4" t="s">
        <v>4</v>
      </c>
      <c r="B15" s="9">
        <v>250</v>
      </c>
      <c r="C15" s="9"/>
      <c r="D15" s="9">
        <v>126</v>
      </c>
    </row>
    <row r="16" ht="33">
      <c r="A16" s="4" t="s">
        <v>5</v>
      </c>
      <c r="B16" s="9">
        <v>150</v>
      </c>
      <c r="C16" s="9"/>
      <c r="D16" s="10">
        <v>497.69999999999999</v>
      </c>
    </row>
    <row r="17" ht="16.5">
      <c r="A17" s="4" t="s">
        <v>6</v>
      </c>
      <c r="B17" s="9" t="s">
        <v>7</v>
      </c>
      <c r="C17" s="9"/>
      <c r="D17" s="10">
        <v>88.200000000000003</v>
      </c>
    </row>
    <row r="18" ht="16.5">
      <c r="A18" s="4" t="s">
        <v>8</v>
      </c>
      <c r="B18" s="9">
        <v>80</v>
      </c>
      <c r="C18" s="9"/>
      <c r="D18" s="10">
        <v>170.09999999999999</v>
      </c>
    </row>
    <row r="19" ht="16.5">
      <c r="A19" s="4" t="s">
        <v>9</v>
      </c>
      <c r="B19" s="9">
        <v>110</v>
      </c>
      <c r="C19" s="9"/>
      <c r="D19" s="10">
        <v>396.89999999999998</v>
      </c>
    </row>
    <row r="20" ht="16.5">
      <c r="A20" s="4" t="s">
        <v>10</v>
      </c>
      <c r="B20" s="9">
        <v>110</v>
      </c>
      <c r="C20" s="9"/>
      <c r="D20" s="9">
        <v>315</v>
      </c>
    </row>
    <row r="21" ht="16.5">
      <c r="A21" s="4" t="s">
        <v>11</v>
      </c>
      <c r="B21" s="9">
        <v>150</v>
      </c>
      <c r="C21" s="9"/>
      <c r="D21" s="10">
        <v>409.5</v>
      </c>
    </row>
    <row r="22" ht="16.5">
      <c r="A22" s="4" t="s">
        <v>12</v>
      </c>
      <c r="B22" s="9">
        <v>110</v>
      </c>
      <c r="C22" s="9"/>
      <c r="D22" s="9">
        <v>378</v>
      </c>
    </row>
    <row r="23" ht="16.5">
      <c r="A23" s="4" t="s">
        <v>13</v>
      </c>
      <c r="B23" s="9">
        <v>120</v>
      </c>
      <c r="C23" s="9"/>
      <c r="D23" s="9">
        <v>441</v>
      </c>
    </row>
    <row r="24" ht="16.5">
      <c r="A24" s="4" t="s">
        <v>14</v>
      </c>
      <c r="B24" s="9">
        <v>90</v>
      </c>
      <c r="C24" s="9"/>
      <c r="D24" s="10">
        <v>239.40000000000001</v>
      </c>
    </row>
    <row r="25" ht="16.5">
      <c r="A25" s="4" t="s">
        <v>15</v>
      </c>
      <c r="B25" s="9">
        <v>150</v>
      </c>
      <c r="C25" s="9"/>
      <c r="D25" s="10">
        <v>352.80000000000001</v>
      </c>
    </row>
    <row r="26" ht="16.5">
      <c r="A26" s="4" t="s">
        <v>16</v>
      </c>
      <c r="B26" s="9">
        <v>50</v>
      </c>
      <c r="C26" s="9"/>
      <c r="D26" s="10">
        <v>100.8</v>
      </c>
    </row>
    <row r="27" ht="16.5">
      <c r="A27" s="4" t="s">
        <v>17</v>
      </c>
      <c r="B27" s="9">
        <v>75</v>
      </c>
      <c r="C27" s="9"/>
      <c r="D27" s="10">
        <v>163.80000000000001</v>
      </c>
    </row>
    <row r="28" ht="16.5">
      <c r="A28" s="4" t="s">
        <v>18</v>
      </c>
      <c r="B28" s="9">
        <v>75</v>
      </c>
      <c r="C28" s="9"/>
      <c r="D28" s="10">
        <v>201.59999999999999</v>
      </c>
    </row>
    <row r="29" ht="23.25">
      <c r="A29" s="8" t="s">
        <v>19</v>
      </c>
      <c r="B29" s="3"/>
      <c r="C29" s="3"/>
      <c r="D29" s="9"/>
    </row>
    <row r="30" ht="16.5">
      <c r="A30" s="4" t="s">
        <v>20</v>
      </c>
      <c r="B30" s="9">
        <v>30</v>
      </c>
      <c r="C30" s="9"/>
      <c r="D30" s="10">
        <v>201.59999999999999</v>
      </c>
    </row>
    <row r="31" ht="16.5">
      <c r="A31" s="4" t="s">
        <v>21</v>
      </c>
      <c r="B31" s="9">
        <v>25</v>
      </c>
      <c r="C31" s="9"/>
      <c r="D31" s="10">
        <v>283.5</v>
      </c>
    </row>
    <row r="32" ht="16.5">
      <c r="A32" s="4" t="s">
        <v>22</v>
      </c>
      <c r="B32" s="9">
        <v>30</v>
      </c>
      <c r="C32" s="9"/>
      <c r="D32" s="10">
        <v>214.19999999999999</v>
      </c>
    </row>
    <row r="33" ht="16.5">
      <c r="A33" s="4" t="s">
        <v>23</v>
      </c>
      <c r="B33" s="9">
        <v>35</v>
      </c>
      <c r="C33" s="9"/>
      <c r="D33" s="9">
        <v>252</v>
      </c>
    </row>
    <row r="34" ht="16.5">
      <c r="A34" s="4" t="s">
        <v>24</v>
      </c>
      <c r="B34" s="9">
        <v>25</v>
      </c>
      <c r="C34" s="9"/>
      <c r="D34" s="9">
        <v>252</v>
      </c>
    </row>
    <row r="35" ht="16.5">
      <c r="A35" s="4" t="s">
        <v>25</v>
      </c>
      <c r="B35" s="9">
        <v>25</v>
      </c>
      <c r="C35" s="9"/>
      <c r="D35" s="9">
        <v>315</v>
      </c>
    </row>
    <row r="36" ht="16.5">
      <c r="A36" s="4" t="s">
        <v>26</v>
      </c>
      <c r="B36" s="9">
        <v>35</v>
      </c>
      <c r="C36" s="9"/>
      <c r="D36" s="10">
        <v>352.80000000000001</v>
      </c>
    </row>
    <row r="37" ht="16.5">
      <c r="A37" s="4" t="s">
        <v>27</v>
      </c>
      <c r="B37" s="9">
        <v>25</v>
      </c>
      <c r="C37" s="9"/>
      <c r="D37" s="10">
        <v>321.30000000000001</v>
      </c>
    </row>
    <row r="38" ht="16.5">
      <c r="A38" s="4" t="s">
        <v>28</v>
      </c>
      <c r="B38" s="9">
        <v>30</v>
      </c>
      <c r="C38" s="9"/>
      <c r="D38" s="10">
        <v>522.89999999999998</v>
      </c>
    </row>
    <row r="39" ht="16.5">
      <c r="A39" s="4" t="s">
        <v>29</v>
      </c>
      <c r="B39" s="9">
        <v>25</v>
      </c>
      <c r="C39" s="9"/>
      <c r="D39" s="10">
        <v>151.19999999999999</v>
      </c>
    </row>
    <row r="40" ht="16.5">
      <c r="A40" s="4" t="s">
        <v>30</v>
      </c>
      <c r="B40" s="9">
        <v>30</v>
      </c>
      <c r="C40" s="9"/>
      <c r="D40" s="9">
        <v>315</v>
      </c>
    </row>
    <row r="41" ht="16.5">
      <c r="A41" s="4" t="s">
        <v>31</v>
      </c>
      <c r="B41" s="9">
        <v>30</v>
      </c>
      <c r="C41" s="9"/>
      <c r="D41" s="10">
        <v>365.39999999999998</v>
      </c>
    </row>
    <row r="42" ht="16.5">
      <c r="A42" s="4" t="s">
        <v>32</v>
      </c>
      <c r="B42" s="9">
        <v>20</v>
      </c>
      <c r="C42" s="9"/>
      <c r="D42" s="10">
        <v>201.59999999999999</v>
      </c>
    </row>
    <row r="43" ht="16.5">
      <c r="A43" s="4" t="s">
        <v>33</v>
      </c>
      <c r="B43" s="9">
        <v>20</v>
      </c>
      <c r="C43" s="9"/>
      <c r="D43" s="10">
        <v>340.19999999999999</v>
      </c>
    </row>
    <row r="44" ht="16.5">
      <c r="A44" s="4" t="s">
        <v>34</v>
      </c>
      <c r="B44" s="9">
        <v>20</v>
      </c>
      <c r="C44" s="9"/>
      <c r="D44" s="10">
        <v>317.10000000000002</v>
      </c>
    </row>
    <row r="45" ht="16.5">
      <c r="A45" s="4" t="s">
        <v>35</v>
      </c>
      <c r="B45" s="9">
        <v>30</v>
      </c>
      <c r="C45" s="9"/>
      <c r="D45" s="10">
        <v>289.80000000000001</v>
      </c>
    </row>
    <row r="46" ht="16.5">
      <c r="A46" s="4" t="s">
        <v>36</v>
      </c>
      <c r="B46" s="9">
        <v>25</v>
      </c>
      <c r="C46" s="9"/>
      <c r="D46" s="10">
        <v>390.60000000000002</v>
      </c>
    </row>
    <row r="47" ht="16.5">
      <c r="A47" s="4" t="s">
        <v>37</v>
      </c>
      <c r="B47" s="9">
        <v>30</v>
      </c>
      <c r="C47" s="9"/>
      <c r="D47" s="9">
        <v>441</v>
      </c>
    </row>
    <row r="48" ht="16.5">
      <c r="A48" s="4" t="s">
        <v>38</v>
      </c>
      <c r="B48" s="9">
        <v>20</v>
      </c>
      <c r="C48" s="9"/>
      <c r="D48" s="9">
        <v>378</v>
      </c>
    </row>
    <row r="49" ht="16.5">
      <c r="A49" s="4" t="s">
        <v>39</v>
      </c>
      <c r="B49" s="9">
        <v>30</v>
      </c>
      <c r="C49" s="9"/>
      <c r="D49" s="10">
        <v>447.30000000000001</v>
      </c>
    </row>
    <row r="50" ht="16.5">
      <c r="A50" s="4" t="s">
        <v>40</v>
      </c>
      <c r="B50" s="9">
        <v>40</v>
      </c>
      <c r="C50" s="9"/>
      <c r="D50" s="10">
        <v>340.19999999999999</v>
      </c>
    </row>
    <row r="51" ht="16.5">
      <c r="A51" s="4" t="s">
        <v>41</v>
      </c>
      <c r="B51" s="9">
        <v>30</v>
      </c>
      <c r="C51" s="9"/>
      <c r="D51" s="10">
        <v>214.19999999999999</v>
      </c>
    </row>
    <row r="52" ht="16.5">
      <c r="A52" s="4" t="s">
        <v>42</v>
      </c>
      <c r="B52" s="9">
        <v>25</v>
      </c>
      <c r="C52" s="9"/>
      <c r="D52" s="10">
        <v>163.80000000000001</v>
      </c>
    </row>
    <row r="53" ht="16.5">
      <c r="A53" s="4" t="s">
        <v>43</v>
      </c>
      <c r="B53" s="9">
        <v>25</v>
      </c>
      <c r="C53" s="9"/>
      <c r="D53" s="10">
        <v>163.80000000000001</v>
      </c>
    </row>
    <row r="54" ht="16.5">
      <c r="A54" s="4" t="s">
        <v>44</v>
      </c>
      <c r="B54" s="9">
        <v>25</v>
      </c>
      <c r="C54" s="9"/>
      <c r="D54" s="10">
        <v>321.30000000000001</v>
      </c>
    </row>
    <row r="55" ht="16.5">
      <c r="A55" s="4" t="s">
        <v>45</v>
      </c>
      <c r="B55" s="9">
        <v>25</v>
      </c>
      <c r="C55" s="9"/>
      <c r="D55" s="10">
        <v>264.60000000000002</v>
      </c>
    </row>
    <row r="56" ht="16.5">
      <c r="A56" s="4" t="s">
        <v>46</v>
      </c>
      <c r="B56" s="9">
        <v>25</v>
      </c>
      <c r="C56" s="9"/>
      <c r="D56" s="10">
        <v>151.19999999999999</v>
      </c>
    </row>
    <row r="57" ht="16.5">
      <c r="A57" s="4" t="s">
        <v>47</v>
      </c>
      <c r="B57" s="9">
        <v>100</v>
      </c>
      <c r="C57" s="9"/>
      <c r="D57" s="10">
        <v>302.39999999999998</v>
      </c>
    </row>
    <row r="58" ht="16.5">
      <c r="A58" s="4" t="s">
        <v>48</v>
      </c>
      <c r="B58" s="9">
        <v>25</v>
      </c>
      <c r="C58" s="9"/>
      <c r="D58" s="10">
        <v>283.5</v>
      </c>
    </row>
    <row r="59" ht="16.5">
      <c r="A59" s="4" t="s">
        <v>49</v>
      </c>
      <c r="B59" s="9">
        <v>25</v>
      </c>
      <c r="C59" s="9"/>
      <c r="D59" s="10">
        <v>144.90000000000001</v>
      </c>
    </row>
    <row r="60" ht="16.5">
      <c r="A60" s="4" t="s">
        <v>50</v>
      </c>
      <c r="B60" s="9">
        <v>40</v>
      </c>
      <c r="C60" s="9"/>
      <c r="D60" s="10">
        <v>214.19999999999999</v>
      </c>
    </row>
    <row r="61" ht="16.5">
      <c r="A61" s="4" t="s">
        <v>51</v>
      </c>
      <c r="B61" s="9">
        <v>35</v>
      </c>
      <c r="C61" s="9"/>
      <c r="D61" s="10">
        <v>302.39999999999998</v>
      </c>
    </row>
    <row r="62" ht="16.5">
      <c r="A62" s="4" t="s">
        <v>52</v>
      </c>
      <c r="B62" s="9">
        <v>30</v>
      </c>
      <c r="C62" s="9"/>
      <c r="D62" s="10">
        <v>277.19999999999999</v>
      </c>
    </row>
    <row r="63" ht="16.5">
      <c r="A63" s="4" t="s">
        <v>53</v>
      </c>
      <c r="B63" s="9">
        <v>30</v>
      </c>
      <c r="C63" s="9"/>
      <c r="D63" s="10">
        <v>214.19999999999999</v>
      </c>
    </row>
    <row r="64" ht="16.5">
      <c r="A64" s="4" t="s">
        <v>54</v>
      </c>
      <c r="B64" s="9">
        <v>25</v>
      </c>
      <c r="C64" s="9"/>
      <c r="D64" s="10">
        <v>352.80000000000001</v>
      </c>
    </row>
    <row r="65" ht="16.5">
      <c r="A65" s="4" t="s">
        <v>55</v>
      </c>
      <c r="B65" s="9">
        <v>20</v>
      </c>
      <c r="C65" s="9"/>
      <c r="D65" s="10">
        <v>151.19999999999999</v>
      </c>
    </row>
    <row r="66" ht="33">
      <c r="A66" s="4" t="s">
        <v>56</v>
      </c>
      <c r="B66" s="9">
        <v>30</v>
      </c>
      <c r="C66" s="9"/>
      <c r="D66" s="10">
        <v>233.09999999999999</v>
      </c>
    </row>
    <row r="67" ht="33">
      <c r="A67" s="4" t="s">
        <v>57</v>
      </c>
      <c r="B67" s="9">
        <v>30</v>
      </c>
      <c r="C67" s="9"/>
      <c r="D67" s="10">
        <v>289.80000000000001</v>
      </c>
    </row>
    <row r="68" ht="16.5">
      <c r="A68" s="4" t="s">
        <v>58</v>
      </c>
      <c r="B68" s="9">
        <v>25</v>
      </c>
      <c r="C68" s="9"/>
      <c r="D68" s="10">
        <v>302.39999999999998</v>
      </c>
    </row>
    <row r="69" ht="16.5">
      <c r="A69" s="4" t="s">
        <v>59</v>
      </c>
      <c r="B69" s="9">
        <v>25</v>
      </c>
      <c r="C69" s="9"/>
      <c r="D69" s="10">
        <v>264.60000000000002</v>
      </c>
    </row>
    <row r="70" ht="16.5">
      <c r="A70" s="4" t="s">
        <v>60</v>
      </c>
      <c r="B70" s="9">
        <v>25</v>
      </c>
      <c r="C70" s="9"/>
      <c r="D70" s="10">
        <v>264.60000000000002</v>
      </c>
    </row>
    <row r="71" ht="16.5">
      <c r="A71" s="4" t="s">
        <v>61</v>
      </c>
      <c r="B71" s="9">
        <v>30</v>
      </c>
      <c r="C71" s="9"/>
      <c r="D71" s="10">
        <v>289.80000000000001</v>
      </c>
    </row>
    <row r="72" ht="16.5">
      <c r="A72" s="4" t="s">
        <v>62</v>
      </c>
      <c r="B72" s="9">
        <v>30</v>
      </c>
      <c r="C72" s="9"/>
      <c r="D72" s="10">
        <v>289.80000000000001</v>
      </c>
    </row>
    <row r="73" ht="16.5">
      <c r="A73" s="4" t="s">
        <v>63</v>
      </c>
      <c r="B73" s="9">
        <v>25</v>
      </c>
      <c r="C73" s="9"/>
      <c r="D73" s="10">
        <v>245.69999999999999</v>
      </c>
    </row>
    <row r="74" ht="16.5">
      <c r="A74" s="4"/>
      <c r="B74" s="3"/>
      <c r="C74" s="3"/>
      <c r="D74" s="9"/>
    </row>
    <row r="75" ht="23.25">
      <c r="A75" s="8" t="s">
        <v>64</v>
      </c>
      <c r="B75" s="3"/>
      <c r="C75" s="3"/>
      <c r="D75" s="9"/>
    </row>
    <row r="76" ht="16.5">
      <c r="A76" s="4" t="s">
        <v>65</v>
      </c>
      <c r="B76" s="9">
        <v>37</v>
      </c>
      <c r="C76" s="9"/>
      <c r="D76" s="10">
        <v>214.19999999999999</v>
      </c>
    </row>
    <row r="77" ht="16.5">
      <c r="A77" s="4" t="s">
        <v>66</v>
      </c>
      <c r="B77" s="9">
        <v>30</v>
      </c>
      <c r="C77" s="9"/>
      <c r="D77" s="10">
        <v>302.39999999999998</v>
      </c>
    </row>
    <row r="78" ht="16.5">
      <c r="A78" s="4" t="s">
        <v>67</v>
      </c>
      <c r="B78" s="9">
        <v>30</v>
      </c>
      <c r="C78" s="9"/>
      <c r="D78" s="10">
        <v>226.80000000000001</v>
      </c>
    </row>
    <row r="79" ht="16.5">
      <c r="A79" s="4" t="s">
        <v>68</v>
      </c>
      <c r="B79" s="9">
        <v>30</v>
      </c>
      <c r="C79" s="9"/>
      <c r="D79" s="10">
        <v>359.10000000000002</v>
      </c>
    </row>
    <row r="80" ht="16.5">
      <c r="A80" s="4" t="s">
        <v>69</v>
      </c>
      <c r="B80" s="9">
        <v>37</v>
      </c>
      <c r="C80" s="9"/>
      <c r="D80" s="9">
        <v>315</v>
      </c>
    </row>
    <row r="81" ht="16.5">
      <c r="A81" s="4" t="s">
        <v>70</v>
      </c>
      <c r="B81" s="9">
        <v>37</v>
      </c>
      <c r="C81" s="9"/>
      <c r="D81" s="10">
        <v>245.69999999999999</v>
      </c>
    </row>
    <row r="82" ht="16.5">
      <c r="A82" s="4" t="s">
        <v>71</v>
      </c>
      <c r="B82" s="9">
        <v>37</v>
      </c>
      <c r="C82" s="9"/>
      <c r="D82" s="10">
        <v>264.60000000000002</v>
      </c>
    </row>
    <row r="83" ht="16.5">
      <c r="A83" s="4"/>
      <c r="B83" s="3"/>
      <c r="C83" s="3"/>
      <c r="D83" s="9"/>
    </row>
    <row r="84" ht="23.25">
      <c r="A84" s="8" t="s">
        <v>72</v>
      </c>
      <c r="B84" s="3"/>
      <c r="C84" s="3"/>
      <c r="D84" s="9"/>
    </row>
    <row r="85" ht="16.5">
      <c r="A85" s="4" t="s">
        <v>73</v>
      </c>
      <c r="B85" s="9">
        <v>50</v>
      </c>
      <c r="C85" s="9"/>
      <c r="D85" s="9">
        <v>315</v>
      </c>
    </row>
    <row r="86" ht="16.5">
      <c r="A86" s="4" t="s">
        <v>74</v>
      </c>
      <c r="B86" s="9">
        <v>50</v>
      </c>
      <c r="C86" s="9"/>
      <c r="D86" s="10">
        <v>371.69999999999999</v>
      </c>
    </row>
    <row r="87" ht="16.5">
      <c r="A87" s="4" t="s">
        <v>75</v>
      </c>
      <c r="B87" s="9">
        <v>50</v>
      </c>
      <c r="C87" s="9"/>
      <c r="D87" s="10">
        <v>390.60000000000002</v>
      </c>
    </row>
    <row r="88" ht="16.5">
      <c r="A88" s="4" t="s">
        <v>76</v>
      </c>
      <c r="B88" s="9">
        <v>50</v>
      </c>
      <c r="C88" s="9"/>
      <c r="D88" s="10">
        <v>289.80000000000001</v>
      </c>
    </row>
    <row r="89" ht="16.5">
      <c r="A89" s="4" t="s">
        <v>77</v>
      </c>
      <c r="B89" s="9">
        <v>50</v>
      </c>
      <c r="C89" s="9"/>
      <c r="D89" s="10">
        <v>340.19999999999999</v>
      </c>
    </row>
    <row r="90" ht="16.5">
      <c r="A90" s="4" t="s">
        <v>78</v>
      </c>
      <c r="B90" s="9">
        <v>50</v>
      </c>
      <c r="C90" s="9"/>
      <c r="D90" s="10">
        <v>277.19999999999999</v>
      </c>
    </row>
    <row r="91" ht="16.5">
      <c r="A91" s="4"/>
      <c r="B91" s="3"/>
      <c r="C91" s="3"/>
      <c r="D91" s="9"/>
    </row>
    <row r="92" ht="46.5">
      <c r="A92" s="8" t="s">
        <v>79</v>
      </c>
      <c r="B92" s="3"/>
      <c r="C92" s="3"/>
      <c r="D92" s="9"/>
    </row>
    <row r="93" ht="16.5">
      <c r="A93" s="4" t="s">
        <v>80</v>
      </c>
      <c r="B93" s="9">
        <v>35</v>
      </c>
      <c r="C93" s="9"/>
      <c r="D93" s="10">
        <v>195.30000000000001</v>
      </c>
    </row>
    <row r="94" ht="16.5">
      <c r="A94" s="4" t="s">
        <v>81</v>
      </c>
      <c r="B94" s="9">
        <v>35</v>
      </c>
      <c r="C94" s="9"/>
      <c r="D94" s="10">
        <v>245.69999999999999</v>
      </c>
    </row>
    <row r="95" ht="16.5">
      <c r="A95" s="4" t="s">
        <v>82</v>
      </c>
      <c r="B95" s="9">
        <v>35</v>
      </c>
      <c r="C95" s="9"/>
      <c r="D95" s="10">
        <v>195.30000000000001</v>
      </c>
    </row>
    <row r="96" ht="16.5">
      <c r="A96" s="4" t="s">
        <v>83</v>
      </c>
      <c r="B96" s="9">
        <v>35</v>
      </c>
      <c r="C96" s="9"/>
      <c r="D96" s="10">
        <v>176.40000000000001</v>
      </c>
    </row>
    <row r="97" ht="16.5">
      <c r="A97" s="4" t="s">
        <v>84</v>
      </c>
      <c r="B97" s="9">
        <v>35</v>
      </c>
      <c r="C97" s="9"/>
      <c r="D97" s="10">
        <v>176.40000000000001</v>
      </c>
    </row>
    <row r="98" ht="16.5">
      <c r="A98" s="4"/>
      <c r="B98" s="3"/>
      <c r="C98" s="3"/>
      <c r="D98" s="9"/>
    </row>
    <row r="99" ht="23.25">
      <c r="A99" s="8" t="s">
        <v>85</v>
      </c>
      <c r="B99" s="3"/>
      <c r="C99" s="3"/>
      <c r="D99" s="9"/>
    </row>
    <row r="100" ht="16.5">
      <c r="A100" s="4" t="s">
        <v>86</v>
      </c>
      <c r="B100" s="9">
        <v>25</v>
      </c>
      <c r="C100" s="9"/>
      <c r="D100" s="10">
        <v>195.30000000000001</v>
      </c>
    </row>
    <row r="101" ht="16.5">
      <c r="A101" s="4" t="s">
        <v>87</v>
      </c>
      <c r="B101" s="9">
        <v>25</v>
      </c>
      <c r="C101" s="9"/>
      <c r="D101" s="10">
        <v>195.30000000000001</v>
      </c>
    </row>
    <row r="102" ht="16.5">
      <c r="A102" s="4" t="s">
        <v>88</v>
      </c>
      <c r="B102" s="9">
        <v>25</v>
      </c>
      <c r="C102" s="9"/>
      <c r="D102" s="10">
        <v>176.40000000000001</v>
      </c>
    </row>
    <row r="103" ht="16.5">
      <c r="A103" s="4" t="s">
        <v>89</v>
      </c>
      <c r="B103" s="9">
        <v>25</v>
      </c>
      <c r="C103" s="9"/>
      <c r="D103" s="10">
        <v>176.40000000000001</v>
      </c>
    </row>
    <row r="104" ht="16.5">
      <c r="A104" s="4"/>
      <c r="B104" s="3"/>
      <c r="C104" s="3"/>
      <c r="D104" s="9"/>
    </row>
    <row r="105" ht="23.25">
      <c r="A105" s="8" t="s">
        <v>90</v>
      </c>
      <c r="B105" s="3"/>
      <c r="C105" s="3"/>
      <c r="D105" s="9"/>
    </row>
    <row r="106" ht="16.5">
      <c r="A106" s="4" t="s">
        <v>91</v>
      </c>
      <c r="B106" s="9">
        <v>30</v>
      </c>
      <c r="C106" s="9"/>
      <c r="D106" s="10">
        <v>277.19999999999999</v>
      </c>
    </row>
    <row r="107" ht="16.5">
      <c r="A107" s="4" t="s">
        <v>92</v>
      </c>
      <c r="B107" s="9">
        <v>30</v>
      </c>
      <c r="C107" s="9"/>
      <c r="D107" s="10">
        <v>277.19999999999999</v>
      </c>
    </row>
    <row r="108" ht="16.5">
      <c r="A108" s="4" t="s">
        <v>93</v>
      </c>
      <c r="B108" s="9">
        <v>35</v>
      </c>
      <c r="C108" s="9"/>
      <c r="D108" s="9">
        <v>441</v>
      </c>
    </row>
    <row r="109" ht="16.5">
      <c r="A109" s="4" t="s">
        <v>94</v>
      </c>
      <c r="B109" s="9">
        <v>35</v>
      </c>
      <c r="C109" s="9"/>
      <c r="D109" s="10">
        <v>340.19999999999999</v>
      </c>
    </row>
    <row r="110" ht="16.5">
      <c r="A110" s="4" t="s">
        <v>95</v>
      </c>
      <c r="B110" s="9">
        <v>35</v>
      </c>
      <c r="C110" s="9"/>
      <c r="D110" s="10">
        <v>453.60000000000002</v>
      </c>
    </row>
    <row r="111" ht="16.5">
      <c r="A111" s="4" t="s">
        <v>96</v>
      </c>
      <c r="B111" s="9">
        <v>35</v>
      </c>
      <c r="C111" s="9"/>
      <c r="D111" s="9">
        <v>441</v>
      </c>
    </row>
    <row r="112" ht="16.5">
      <c r="A112" s="4" t="s">
        <v>97</v>
      </c>
      <c r="B112" s="9">
        <v>30</v>
      </c>
      <c r="C112" s="9"/>
      <c r="D112" s="10">
        <v>434.69999999999999</v>
      </c>
    </row>
    <row r="113" ht="16.5">
      <c r="A113" s="4" t="s">
        <v>98</v>
      </c>
      <c r="B113" s="9">
        <v>35</v>
      </c>
      <c r="C113" s="9"/>
      <c r="D113" s="10">
        <v>403.19999999999999</v>
      </c>
    </row>
    <row r="114" ht="16.5">
      <c r="A114" s="4" t="s">
        <v>99</v>
      </c>
      <c r="B114" s="9">
        <v>30</v>
      </c>
      <c r="C114" s="9"/>
      <c r="D114" s="10">
        <v>264.60000000000002</v>
      </c>
    </row>
    <row r="115" ht="16.5">
      <c r="A115" s="4" t="s">
        <v>100</v>
      </c>
      <c r="B115" s="9">
        <v>35</v>
      </c>
      <c r="C115" s="9"/>
      <c r="D115" s="10">
        <v>264.60000000000002</v>
      </c>
    </row>
    <row r="116" ht="16.5">
      <c r="A116" s="4" t="s">
        <v>101</v>
      </c>
      <c r="B116" s="9">
        <v>35</v>
      </c>
      <c r="C116" s="9"/>
      <c r="D116" s="10">
        <v>264.60000000000002</v>
      </c>
    </row>
    <row r="117" ht="16.5">
      <c r="A117" s="4" t="s">
        <v>102</v>
      </c>
      <c r="B117" s="9">
        <v>35</v>
      </c>
      <c r="C117" s="9"/>
      <c r="D117" s="10">
        <v>283.5</v>
      </c>
    </row>
    <row r="118" ht="16.5">
      <c r="A118" s="4" t="s">
        <v>103</v>
      </c>
      <c r="B118" s="9">
        <v>35</v>
      </c>
      <c r="C118" s="9"/>
      <c r="D118" s="10">
        <v>283.5</v>
      </c>
    </row>
    <row r="119" ht="16.5">
      <c r="A119" s="4" t="s">
        <v>104</v>
      </c>
      <c r="B119" s="9">
        <v>35</v>
      </c>
      <c r="C119" s="9"/>
      <c r="D119" s="9">
        <v>189</v>
      </c>
    </row>
    <row r="120" ht="16.5">
      <c r="A120" s="4" t="s">
        <v>105</v>
      </c>
      <c r="B120" s="9">
        <v>30</v>
      </c>
      <c r="C120" s="9"/>
      <c r="D120" s="10">
        <v>239.40000000000001</v>
      </c>
    </row>
    <row r="121" ht="16.5">
      <c r="A121" s="4"/>
      <c r="B121" s="3"/>
      <c r="C121" s="3"/>
      <c r="D121" s="9"/>
    </row>
    <row r="122" ht="23.25">
      <c r="A122" s="8" t="s">
        <v>106</v>
      </c>
      <c r="B122" s="3"/>
      <c r="C122" s="3"/>
      <c r="D122" s="9"/>
    </row>
    <row r="123" ht="16.5">
      <c r="A123" s="4" t="s">
        <v>107</v>
      </c>
      <c r="B123" s="9">
        <v>50</v>
      </c>
      <c r="C123" s="9"/>
      <c r="D123" s="10">
        <v>327.60000000000002</v>
      </c>
    </row>
    <row r="124" ht="16.5">
      <c r="A124" s="4" t="s">
        <v>108</v>
      </c>
      <c r="B124" s="9">
        <v>50</v>
      </c>
      <c r="C124" s="9"/>
      <c r="D124" s="10">
        <v>371.69999999999999</v>
      </c>
    </row>
    <row r="125" ht="16.5">
      <c r="A125" s="4" t="s">
        <v>96</v>
      </c>
      <c r="B125" s="9">
        <v>50</v>
      </c>
      <c r="C125" s="9"/>
      <c r="D125" s="10">
        <v>371.69999999999999</v>
      </c>
    </row>
    <row r="126" ht="16.5">
      <c r="A126" s="4" t="s">
        <v>109</v>
      </c>
      <c r="B126" s="9">
        <v>50</v>
      </c>
      <c r="C126" s="9"/>
      <c r="D126" s="10">
        <v>352.80000000000001</v>
      </c>
    </row>
    <row r="127" ht="16.5">
      <c r="A127" s="4" t="s">
        <v>110</v>
      </c>
      <c r="B127" s="9">
        <v>50</v>
      </c>
      <c r="C127" s="9"/>
      <c r="D127" s="10">
        <v>321.30000000000001</v>
      </c>
    </row>
    <row r="128" ht="16.5">
      <c r="A128" s="4" t="s">
        <v>111</v>
      </c>
      <c r="B128" s="9">
        <v>50</v>
      </c>
      <c r="C128" s="9"/>
      <c r="D128" s="10">
        <v>289.80000000000001</v>
      </c>
    </row>
    <row r="129" ht="16.5">
      <c r="A129" s="4" t="s">
        <v>112</v>
      </c>
      <c r="B129" s="9">
        <v>50</v>
      </c>
      <c r="C129" s="9"/>
      <c r="D129" s="10">
        <v>239.40000000000001</v>
      </c>
    </row>
    <row r="130" ht="16.5">
      <c r="A130" s="4" t="s">
        <v>113</v>
      </c>
      <c r="B130" s="9">
        <v>50</v>
      </c>
      <c r="C130" s="9"/>
      <c r="D130" s="10">
        <v>214.19999999999999</v>
      </c>
    </row>
    <row r="131" ht="16.5">
      <c r="A131" s="4" t="s">
        <v>114</v>
      </c>
      <c r="B131" s="9">
        <v>50</v>
      </c>
      <c r="C131" s="9"/>
      <c r="D131" s="10">
        <v>245.69999999999999</v>
      </c>
    </row>
    <row r="132" ht="16.5">
      <c r="A132" s="4" t="s">
        <v>115</v>
      </c>
      <c r="B132" s="9">
        <v>50</v>
      </c>
      <c r="C132" s="9"/>
      <c r="D132" s="10">
        <v>308.69999999999999</v>
      </c>
    </row>
    <row r="133" ht="16.5">
      <c r="A133" s="4" t="s">
        <v>116</v>
      </c>
      <c r="B133" s="9">
        <v>50</v>
      </c>
      <c r="C133" s="9"/>
      <c r="D133" s="10">
        <v>296.10000000000002</v>
      </c>
    </row>
    <row r="134" ht="16.5">
      <c r="A134" s="4"/>
      <c r="B134" s="3"/>
      <c r="C134" s="3"/>
      <c r="D134" s="9"/>
    </row>
    <row r="135" ht="23.25">
      <c r="A135" s="8" t="s">
        <v>117</v>
      </c>
      <c r="B135" s="3"/>
      <c r="C135" s="3"/>
      <c r="D135" s="9"/>
    </row>
    <row r="136" ht="16.5">
      <c r="A136" s="4" t="s">
        <v>118</v>
      </c>
      <c r="B136" s="9">
        <v>50</v>
      </c>
      <c r="C136" s="9"/>
      <c r="D136" s="10">
        <v>264.60000000000002</v>
      </c>
    </row>
    <row r="137" ht="16.5">
      <c r="A137" s="4" t="s">
        <v>119</v>
      </c>
      <c r="B137" s="9">
        <v>50</v>
      </c>
      <c r="C137" s="9"/>
      <c r="D137" s="10">
        <v>264.60000000000002</v>
      </c>
    </row>
    <row r="138" ht="16.5">
      <c r="A138" s="4" t="s">
        <v>120</v>
      </c>
      <c r="B138" s="9">
        <v>50</v>
      </c>
      <c r="C138" s="9"/>
      <c r="D138" s="10">
        <v>283.5</v>
      </c>
    </row>
    <row r="139" ht="16.5">
      <c r="A139" s="4" t="s">
        <v>121</v>
      </c>
      <c r="B139" s="9">
        <v>50</v>
      </c>
      <c r="C139" s="9"/>
      <c r="D139" s="10">
        <v>233.09999999999999</v>
      </c>
    </row>
    <row r="140" ht="16.5">
      <c r="A140" s="4"/>
      <c r="B140" s="3"/>
      <c r="C140" s="3"/>
      <c r="D140" s="9"/>
    </row>
    <row r="141" ht="23.25">
      <c r="A141" s="8" t="s">
        <v>122</v>
      </c>
      <c r="B141" s="3"/>
      <c r="C141" s="3"/>
      <c r="D141" s="9"/>
    </row>
    <row r="142" ht="16.5">
      <c r="A142" s="4" t="s">
        <v>123</v>
      </c>
      <c r="B142" s="9">
        <v>50</v>
      </c>
      <c r="C142" s="9"/>
      <c r="D142" s="10">
        <v>141.75</v>
      </c>
    </row>
    <row r="143" ht="16.5">
      <c r="A143" s="4" t="s">
        <v>124</v>
      </c>
      <c r="B143" s="9">
        <v>50</v>
      </c>
      <c r="C143" s="9"/>
      <c r="D143" s="10">
        <v>141.75</v>
      </c>
    </row>
    <row r="144" ht="16.5">
      <c r="A144" s="4" t="s">
        <v>125</v>
      </c>
      <c r="B144" s="9">
        <v>50</v>
      </c>
      <c r="C144" s="9"/>
      <c r="D144" s="10">
        <v>198.44999999999999</v>
      </c>
    </row>
    <row r="145" ht="16.5">
      <c r="A145" s="4" t="s">
        <v>126</v>
      </c>
      <c r="B145" s="9">
        <v>50</v>
      </c>
      <c r="C145" s="9"/>
      <c r="D145" s="10">
        <v>141.75</v>
      </c>
    </row>
    <row r="146" ht="16.5">
      <c r="A146" s="4"/>
      <c r="B146" s="3"/>
      <c r="C146" s="3"/>
      <c r="D146" s="9"/>
    </row>
    <row r="147" ht="23.25">
      <c r="A147" s="8" t="s">
        <v>127</v>
      </c>
      <c r="B147" s="3"/>
      <c r="C147" s="3"/>
      <c r="D147" s="9"/>
    </row>
    <row r="148" ht="16.5">
      <c r="A148" s="4" t="s">
        <v>128</v>
      </c>
      <c r="B148" s="9">
        <v>40</v>
      </c>
      <c r="C148" s="9"/>
      <c r="D148" s="10">
        <v>233.09999999999999</v>
      </c>
    </row>
    <row r="149" ht="16.5">
      <c r="A149" s="4" t="s">
        <v>129</v>
      </c>
      <c r="B149" s="9">
        <v>40</v>
      </c>
      <c r="C149" s="9"/>
      <c r="D149" s="10">
        <v>195.30000000000001</v>
      </c>
    </row>
    <row r="150" ht="33">
      <c r="A150" s="4" t="s">
        <v>130</v>
      </c>
      <c r="B150" s="9">
        <v>40</v>
      </c>
      <c r="C150" s="9"/>
      <c r="D150" s="10">
        <v>214.19999999999999</v>
      </c>
    </row>
    <row r="151" ht="16.5">
      <c r="A151" s="4" t="s">
        <v>131</v>
      </c>
      <c r="B151" s="9">
        <v>40</v>
      </c>
      <c r="C151" s="9"/>
      <c r="D151" s="10">
        <v>214.19999999999999</v>
      </c>
    </row>
    <row r="152" ht="16.5">
      <c r="A152" s="4"/>
      <c r="B152" s="3"/>
      <c r="C152" s="3"/>
      <c r="D152" s="9"/>
    </row>
    <row r="153" ht="23.25">
      <c r="A153" s="8" t="s">
        <v>132</v>
      </c>
      <c r="B153" s="3"/>
      <c r="C153" s="3"/>
      <c r="D153" s="9"/>
    </row>
    <row r="154" ht="16.5">
      <c r="A154" s="4" t="s">
        <v>133</v>
      </c>
      <c r="B154" s="11">
        <v>250</v>
      </c>
      <c r="C154" s="11"/>
      <c r="D154" s="10">
        <v>1190.7</v>
      </c>
    </row>
    <row r="155" ht="33">
      <c r="A155" s="4" t="s">
        <v>134</v>
      </c>
      <c r="B155" s="11">
        <v>250</v>
      </c>
      <c r="C155" s="11"/>
      <c r="D155" s="10">
        <v>2085.3000000000002</v>
      </c>
    </row>
    <row r="156" ht="33">
      <c r="A156" s="4" t="s">
        <v>135</v>
      </c>
      <c r="B156" s="11">
        <v>400</v>
      </c>
      <c r="C156" s="11"/>
      <c r="D156" s="10">
        <v>2028.5999999999999</v>
      </c>
    </row>
    <row r="157" ht="16.5">
      <c r="A157" s="4" t="s">
        <v>136</v>
      </c>
      <c r="B157" s="11">
        <v>400</v>
      </c>
      <c r="C157" s="11"/>
      <c r="D157" s="10">
        <v>1820.7</v>
      </c>
    </row>
    <row r="158" ht="33">
      <c r="A158" s="4" t="s">
        <v>137</v>
      </c>
      <c r="B158" s="11">
        <v>450</v>
      </c>
      <c r="C158" s="11"/>
      <c r="D158" s="9">
        <v>1386</v>
      </c>
    </row>
    <row r="159" ht="33">
      <c r="A159" s="4" t="s">
        <v>138</v>
      </c>
      <c r="B159" s="11">
        <v>450</v>
      </c>
      <c r="C159" s="11"/>
      <c r="D159" s="9">
        <v>1953</v>
      </c>
    </row>
    <row r="160" ht="49.5">
      <c r="A160" s="4" t="s">
        <v>139</v>
      </c>
      <c r="B160" s="11">
        <v>100</v>
      </c>
      <c r="C160" s="11"/>
      <c r="D160" s="10">
        <v>749.70000000000005</v>
      </c>
    </row>
    <row r="161" ht="33">
      <c r="A161" s="4" t="s">
        <v>140</v>
      </c>
      <c r="B161" s="11">
        <v>250</v>
      </c>
      <c r="C161" s="11"/>
      <c r="D161" s="10">
        <v>793.79999999999995</v>
      </c>
    </row>
    <row r="162" ht="33">
      <c r="A162" s="4" t="s">
        <v>141</v>
      </c>
      <c r="B162" s="9">
        <v>80</v>
      </c>
      <c r="C162" s="9"/>
      <c r="D162" s="10">
        <v>529.20000000000005</v>
      </c>
    </row>
    <row r="163" ht="16.5">
      <c r="A163" s="4"/>
      <c r="B163" s="3"/>
      <c r="C163" s="3"/>
      <c r="D163" s="9"/>
    </row>
    <row r="164" ht="23.25">
      <c r="A164" s="8" t="s">
        <v>142</v>
      </c>
      <c r="B164" s="3"/>
      <c r="C164" s="3"/>
      <c r="D164" s="9"/>
    </row>
    <row r="165" ht="16.5">
      <c r="A165" s="4" t="s">
        <v>143</v>
      </c>
      <c r="B165" s="9">
        <v>60</v>
      </c>
      <c r="C165" s="9"/>
      <c r="D165" s="10">
        <v>317.10000000000002</v>
      </c>
    </row>
    <row r="166" ht="16.5">
      <c r="A166" s="4" t="s">
        <v>144</v>
      </c>
      <c r="B166" s="9">
        <v>60</v>
      </c>
      <c r="C166" s="9"/>
      <c r="D166" s="10">
        <v>317.10000000000002</v>
      </c>
    </row>
    <row r="167" ht="16.5">
      <c r="A167" s="4" t="s">
        <v>145</v>
      </c>
      <c r="B167" s="9">
        <v>60</v>
      </c>
      <c r="C167" s="9"/>
      <c r="D167" s="9">
        <v>420</v>
      </c>
    </row>
    <row r="168" ht="33">
      <c r="A168" s="4" t="s">
        <v>146</v>
      </c>
      <c r="B168" s="9">
        <v>60</v>
      </c>
      <c r="C168" s="9"/>
      <c r="D168" s="9">
        <v>420</v>
      </c>
    </row>
    <row r="169" ht="16.5">
      <c r="A169" s="4" t="s">
        <v>147</v>
      </c>
      <c r="B169" s="9">
        <v>60</v>
      </c>
      <c r="C169" s="9"/>
      <c r="D169" s="10">
        <v>354.89999999999998</v>
      </c>
    </row>
    <row r="170" ht="16.5">
      <c r="A170" s="4" t="s">
        <v>148</v>
      </c>
      <c r="B170" s="9">
        <v>60</v>
      </c>
      <c r="C170" s="9"/>
      <c r="D170" s="10">
        <v>354.89999999999998</v>
      </c>
    </row>
    <row r="171" ht="33">
      <c r="A171" s="4" t="s">
        <v>149</v>
      </c>
      <c r="B171" s="9">
        <v>60</v>
      </c>
      <c r="C171" s="9"/>
      <c r="D171" s="10">
        <v>405.30000000000001</v>
      </c>
    </row>
    <row r="172" ht="16.5">
      <c r="A172" s="4"/>
      <c r="B172" s="3"/>
      <c r="C172" s="3"/>
      <c r="D172" s="9"/>
    </row>
    <row r="173" ht="23.25">
      <c r="A173" s="8" t="s">
        <v>150</v>
      </c>
      <c r="B173" s="3"/>
      <c r="C173" s="3"/>
      <c r="D173" s="9"/>
    </row>
    <row r="174" ht="16.5">
      <c r="A174" s="4" t="s">
        <v>143</v>
      </c>
      <c r="B174" s="9">
        <v>150</v>
      </c>
      <c r="C174" s="9"/>
      <c r="D174" s="10">
        <v>793.79999999999995</v>
      </c>
    </row>
    <row r="175" ht="16.5">
      <c r="A175" s="4" t="s">
        <v>144</v>
      </c>
      <c r="B175" s="9">
        <v>150</v>
      </c>
      <c r="C175" s="9"/>
      <c r="D175" s="10">
        <v>793.79999999999995</v>
      </c>
    </row>
    <row r="176" ht="33">
      <c r="A176" s="4" t="s">
        <v>151</v>
      </c>
      <c r="B176" s="9">
        <v>150</v>
      </c>
      <c r="C176" s="9"/>
      <c r="D176" s="10">
        <v>806.39999999999998</v>
      </c>
    </row>
    <row r="177" ht="16.5">
      <c r="A177" s="4" t="s">
        <v>152</v>
      </c>
      <c r="B177" s="9">
        <v>150</v>
      </c>
      <c r="C177" s="9"/>
      <c r="D177" s="10">
        <v>875.70000000000005</v>
      </c>
    </row>
    <row r="178" ht="33">
      <c r="A178" s="4" t="s">
        <v>153</v>
      </c>
      <c r="B178" s="9">
        <v>150</v>
      </c>
      <c r="C178" s="9"/>
      <c r="D178" s="10">
        <v>768.60000000000002</v>
      </c>
    </row>
    <row r="179" ht="33">
      <c r="A179" s="4" t="s">
        <v>154</v>
      </c>
      <c r="B179" s="9">
        <v>150</v>
      </c>
      <c r="C179" s="9"/>
      <c r="D179" s="10">
        <v>737.10000000000002</v>
      </c>
    </row>
    <row r="180" ht="33">
      <c r="A180" s="4" t="s">
        <v>155</v>
      </c>
      <c r="B180" s="9">
        <v>150</v>
      </c>
      <c r="C180" s="9"/>
      <c r="D180" s="10">
        <v>837.89999999999998</v>
      </c>
    </row>
    <row r="181" ht="33">
      <c r="A181" s="4" t="s">
        <v>156</v>
      </c>
      <c r="B181" s="9">
        <v>150</v>
      </c>
      <c r="C181" s="9"/>
      <c r="D181" s="10">
        <v>661.5</v>
      </c>
    </row>
    <row r="182" ht="16.5">
      <c r="A182" s="4" t="s">
        <v>157</v>
      </c>
      <c r="B182" s="9">
        <v>150</v>
      </c>
      <c r="C182" s="9"/>
      <c r="D182" s="10">
        <v>730.79999999999995</v>
      </c>
    </row>
    <row r="183" ht="33">
      <c r="A183" s="4" t="s">
        <v>158</v>
      </c>
      <c r="B183" s="9">
        <v>150</v>
      </c>
      <c r="C183" s="9"/>
      <c r="D183" s="10">
        <v>585.89999999999998</v>
      </c>
    </row>
    <row r="184" ht="16.5">
      <c r="A184" s="4" t="s">
        <v>159</v>
      </c>
      <c r="B184" s="9">
        <v>150</v>
      </c>
      <c r="C184" s="9"/>
      <c r="D184" s="10">
        <v>724.5</v>
      </c>
    </row>
    <row r="185" ht="33">
      <c r="A185" s="4" t="s">
        <v>160</v>
      </c>
      <c r="B185" s="9">
        <v>150</v>
      </c>
      <c r="C185" s="9"/>
      <c r="D185" s="10">
        <v>741.29999999999995</v>
      </c>
    </row>
    <row r="186" ht="16.5">
      <c r="A186" s="4" t="s">
        <v>161</v>
      </c>
      <c r="B186" s="9">
        <v>150</v>
      </c>
      <c r="C186" s="9"/>
      <c r="D186" s="10">
        <v>680.39999999999998</v>
      </c>
    </row>
    <row r="187" ht="33">
      <c r="A187" s="4" t="s">
        <v>162</v>
      </c>
      <c r="B187" s="9">
        <v>150</v>
      </c>
      <c r="C187" s="9"/>
      <c r="D187" s="10">
        <v>617.39999999999998</v>
      </c>
    </row>
    <row r="188" ht="33">
      <c r="A188" s="4" t="s">
        <v>163</v>
      </c>
      <c r="B188" s="9">
        <v>150</v>
      </c>
      <c r="C188" s="9"/>
      <c r="D188" s="9">
        <v>819</v>
      </c>
    </row>
    <row r="189" ht="33">
      <c r="A189" s="4" t="s">
        <v>164</v>
      </c>
      <c r="B189" s="9">
        <v>150</v>
      </c>
      <c r="C189" s="9"/>
      <c r="D189" s="10">
        <v>674.10000000000002</v>
      </c>
    </row>
    <row r="190" ht="33">
      <c r="A190" s="4" t="s">
        <v>165</v>
      </c>
      <c r="B190" s="9">
        <v>150</v>
      </c>
      <c r="C190" s="9"/>
      <c r="D190" s="10">
        <v>655.20000000000005</v>
      </c>
    </row>
    <row r="191" ht="33">
      <c r="A191" s="4" t="s">
        <v>166</v>
      </c>
      <c r="B191" s="9">
        <v>150</v>
      </c>
      <c r="C191" s="9"/>
      <c r="D191" s="10">
        <v>617.39999999999998</v>
      </c>
    </row>
    <row r="192" ht="33">
      <c r="A192" s="4" t="s">
        <v>167</v>
      </c>
      <c r="B192" s="9">
        <v>150</v>
      </c>
      <c r="C192" s="9"/>
      <c r="D192" s="10">
        <v>741.29999999999995</v>
      </c>
    </row>
    <row r="193" ht="16.5">
      <c r="A193" s="4" t="s">
        <v>168</v>
      </c>
      <c r="B193" s="9">
        <v>150</v>
      </c>
      <c r="C193" s="9"/>
      <c r="D193" s="10">
        <v>741.29999999999995</v>
      </c>
    </row>
    <row r="194" ht="16.5">
      <c r="A194" s="4"/>
      <c r="B194" s="3"/>
      <c r="C194" s="3"/>
      <c r="D194" s="9"/>
    </row>
    <row r="195" ht="23.25">
      <c r="A195" s="8" t="s">
        <v>169</v>
      </c>
      <c r="B195" s="3"/>
      <c r="C195" s="3"/>
      <c r="D195" s="9"/>
    </row>
    <row r="196" ht="16.5">
      <c r="A196" s="4" t="s">
        <v>170</v>
      </c>
      <c r="B196" s="9">
        <v>25</v>
      </c>
      <c r="C196" s="9"/>
      <c r="D196" s="10">
        <v>195.30000000000001</v>
      </c>
    </row>
    <row r="197" ht="16.5">
      <c r="A197" s="4" t="s">
        <v>171</v>
      </c>
      <c r="B197" s="9">
        <v>30</v>
      </c>
      <c r="C197" s="9"/>
      <c r="D197" s="10">
        <v>201.59999999999999</v>
      </c>
    </row>
    <row r="198" ht="16.5">
      <c r="A198" s="4" t="s">
        <v>172</v>
      </c>
      <c r="B198" s="9">
        <v>150</v>
      </c>
      <c r="C198" s="9"/>
      <c r="D198" s="10">
        <v>317.10000000000002</v>
      </c>
    </row>
    <row r="199" ht="16.5">
      <c r="A199" s="4"/>
      <c r="B199" s="3"/>
      <c r="C199" s="3"/>
      <c r="D199" s="9"/>
    </row>
    <row r="200" ht="23.25">
      <c r="A200" s="8" t="s">
        <v>173</v>
      </c>
      <c r="B200" s="3"/>
      <c r="C200" s="3"/>
      <c r="D200" s="9"/>
    </row>
    <row r="201" ht="16.5">
      <c r="A201" s="4" t="s">
        <v>174</v>
      </c>
      <c r="B201" s="9">
        <v>50</v>
      </c>
      <c r="C201" s="9"/>
      <c r="D201" s="9">
        <v>189</v>
      </c>
    </row>
    <row r="202" ht="16.5">
      <c r="A202" s="4" t="s">
        <v>175</v>
      </c>
      <c r="B202" s="9">
        <v>50</v>
      </c>
      <c r="C202" s="9"/>
      <c r="D202" s="9">
        <v>189</v>
      </c>
    </row>
    <row r="203" ht="16.5">
      <c r="A203" s="4" t="s">
        <v>176</v>
      </c>
      <c r="B203" s="9">
        <v>50</v>
      </c>
      <c r="C203" s="9"/>
      <c r="D203" s="9">
        <v>189</v>
      </c>
    </row>
    <row r="204" ht="16.5">
      <c r="A204" s="4" t="s">
        <v>177</v>
      </c>
      <c r="B204" s="9">
        <v>50</v>
      </c>
      <c r="C204" s="9"/>
      <c r="D204" s="9">
        <v>189</v>
      </c>
    </row>
    <row r="205" ht="16.5">
      <c r="A205" s="4"/>
      <c r="B205" s="3"/>
      <c r="C205" s="3"/>
      <c r="D205" s="9"/>
    </row>
    <row r="206" ht="23.25">
      <c r="A206" s="8" t="s">
        <v>178</v>
      </c>
      <c r="B206" s="3"/>
      <c r="C206" s="3"/>
      <c r="D206" s="9"/>
    </row>
    <row r="207" ht="16.5">
      <c r="A207" s="4" t="s">
        <v>179</v>
      </c>
      <c r="B207" s="9">
        <v>250</v>
      </c>
      <c r="C207" s="9"/>
      <c r="D207" s="10">
        <v>516.60000000000002</v>
      </c>
    </row>
    <row r="208" ht="16.5">
      <c r="A208" s="4" t="s">
        <v>180</v>
      </c>
      <c r="B208" s="9">
        <v>250</v>
      </c>
      <c r="C208" s="9"/>
      <c r="D208" s="10">
        <v>491.39999999999998</v>
      </c>
    </row>
    <row r="209" ht="16.5">
      <c r="A209" s="4" t="s">
        <v>181</v>
      </c>
      <c r="B209" s="9">
        <v>250</v>
      </c>
      <c r="C209" s="9"/>
      <c r="D209" s="10">
        <v>390.60000000000002</v>
      </c>
    </row>
    <row r="210" ht="16.5">
      <c r="A210" s="4" t="s">
        <v>182</v>
      </c>
      <c r="B210" s="9">
        <v>250</v>
      </c>
      <c r="C210" s="9"/>
      <c r="D210" s="10">
        <v>415.80000000000001</v>
      </c>
    </row>
    <row r="211" ht="16.5">
      <c r="A211" s="4" t="s">
        <v>183</v>
      </c>
      <c r="B211" s="9">
        <v>250</v>
      </c>
      <c r="C211" s="9"/>
      <c r="D211" s="10">
        <v>529.20000000000005</v>
      </c>
    </row>
    <row r="212" ht="16.5">
      <c r="A212" s="4" t="s">
        <v>184</v>
      </c>
      <c r="B212" s="9">
        <v>250</v>
      </c>
      <c r="C212" s="9"/>
      <c r="D212" s="10">
        <v>371.69999999999999</v>
      </c>
    </row>
    <row r="213" ht="16.5">
      <c r="A213" s="4" t="s">
        <v>185</v>
      </c>
      <c r="B213" s="9">
        <v>250</v>
      </c>
      <c r="C213" s="9"/>
      <c r="D213" s="9">
        <v>441</v>
      </c>
    </row>
    <row r="214" ht="16.5">
      <c r="A214" s="4" t="s">
        <v>186</v>
      </c>
      <c r="B214" s="9">
        <v>250</v>
      </c>
      <c r="C214" s="9"/>
      <c r="D214" s="9">
        <v>819</v>
      </c>
    </row>
    <row r="215" ht="16.5">
      <c r="A215" s="4" t="s">
        <v>187</v>
      </c>
      <c r="B215" s="9">
        <v>250</v>
      </c>
      <c r="C215" s="9"/>
      <c r="D215" s="10">
        <v>604.79999999999995</v>
      </c>
    </row>
    <row r="216" ht="16.5">
      <c r="A216" s="4"/>
      <c r="B216" s="3"/>
      <c r="C216" s="3"/>
      <c r="D216" s="9"/>
    </row>
    <row r="217" ht="23.25">
      <c r="A217" s="8" t="s">
        <v>188</v>
      </c>
      <c r="B217" s="3"/>
      <c r="C217" s="3"/>
      <c r="D217" s="9"/>
    </row>
    <row r="218" ht="16.5">
      <c r="A218" s="12" t="s">
        <v>189</v>
      </c>
      <c r="B218" s="9">
        <v>180</v>
      </c>
      <c r="C218" s="9"/>
      <c r="D218" s="10">
        <v>793.79999999999995</v>
      </c>
    </row>
    <row r="219" ht="16.5">
      <c r="A219" s="12" t="s">
        <v>190</v>
      </c>
      <c r="B219" s="9">
        <v>180</v>
      </c>
      <c r="C219" s="9"/>
      <c r="D219" s="10">
        <v>793.79999999999995</v>
      </c>
    </row>
    <row r="220" ht="16.5">
      <c r="A220" s="12" t="s">
        <v>191</v>
      </c>
      <c r="B220" s="11">
        <v>100</v>
      </c>
      <c r="C220" s="11"/>
      <c r="D220" s="10">
        <v>686.70000000000005</v>
      </c>
    </row>
    <row r="221" ht="16.5">
      <c r="A221" s="4"/>
      <c r="B221" s="4"/>
      <c r="C221" s="4"/>
      <c r="D221" s="9"/>
    </row>
    <row r="222" ht="23.25">
      <c r="A222" s="8" t="s">
        <v>192</v>
      </c>
      <c r="B222" s="3"/>
      <c r="C222" s="3"/>
      <c r="D222" s="9"/>
    </row>
    <row r="223" ht="16.5">
      <c r="A223" s="4" t="s">
        <v>193</v>
      </c>
      <c r="B223" s="9">
        <v>60</v>
      </c>
      <c r="C223" s="9"/>
      <c r="D223" s="10">
        <v>510.30000000000001</v>
      </c>
    </row>
    <row r="224" ht="16.5">
      <c r="A224" s="4" t="s">
        <v>194</v>
      </c>
      <c r="B224" s="9">
        <v>60</v>
      </c>
      <c r="C224" s="9"/>
      <c r="D224" s="10">
        <v>510.30000000000001</v>
      </c>
    </row>
    <row r="225" ht="16.5">
      <c r="A225" s="4" t="s">
        <v>195</v>
      </c>
      <c r="B225" s="9">
        <v>60</v>
      </c>
      <c r="C225" s="9"/>
      <c r="D225" s="10">
        <v>434.69999999999999</v>
      </c>
    </row>
    <row r="226" ht="16.5">
      <c r="A226" s="4" t="s">
        <v>196</v>
      </c>
      <c r="B226" s="9">
        <v>60</v>
      </c>
      <c r="C226" s="9"/>
      <c r="D226" s="10">
        <v>592.20000000000005</v>
      </c>
    </row>
    <row r="227" ht="16.5">
      <c r="A227" s="4" t="s">
        <v>197</v>
      </c>
      <c r="B227" s="9">
        <v>35</v>
      </c>
      <c r="C227" s="9"/>
      <c r="D227" s="10">
        <v>317.10000000000002</v>
      </c>
    </row>
    <row r="228" ht="16.5">
      <c r="A228" s="4" t="s">
        <v>198</v>
      </c>
      <c r="B228" s="9">
        <v>45</v>
      </c>
      <c r="C228" s="9"/>
      <c r="D228" s="10">
        <v>283.5</v>
      </c>
    </row>
    <row r="229" ht="16.5">
      <c r="A229" s="4" t="s">
        <v>199</v>
      </c>
      <c r="B229" s="9">
        <v>90</v>
      </c>
      <c r="C229" s="9"/>
      <c r="D229" s="10">
        <v>317.10000000000002</v>
      </c>
    </row>
    <row r="230" ht="16.5">
      <c r="A230" s="4" t="s">
        <v>200</v>
      </c>
      <c r="B230" s="9">
        <v>45</v>
      </c>
      <c r="C230" s="9"/>
      <c r="D230" s="10">
        <v>176.40000000000001</v>
      </c>
    </row>
    <row r="231" ht="16.5">
      <c r="A231" s="4" t="s">
        <v>201</v>
      </c>
      <c r="B231" s="9">
        <v>35</v>
      </c>
      <c r="C231" s="9"/>
      <c r="D231" s="10">
        <v>403.19999999999999</v>
      </c>
    </row>
    <row r="232" ht="16.5">
      <c r="A232" s="4" t="s">
        <v>202</v>
      </c>
      <c r="B232" s="9">
        <v>60</v>
      </c>
      <c r="C232" s="9"/>
      <c r="D232" s="10">
        <v>623.70000000000005</v>
      </c>
    </row>
    <row r="233" ht="16.5">
      <c r="A233" s="4" t="s">
        <v>203</v>
      </c>
      <c r="B233" s="9">
        <v>30</v>
      </c>
      <c r="C233" s="9"/>
      <c r="D233" s="10">
        <v>283.5</v>
      </c>
    </row>
    <row r="234" ht="16.5">
      <c r="A234" s="4" t="s">
        <v>204</v>
      </c>
      <c r="B234" s="9">
        <v>60</v>
      </c>
      <c r="C234" s="9"/>
      <c r="D234" s="10">
        <v>522.89999999999998</v>
      </c>
    </row>
    <row r="235" ht="16.5">
      <c r="A235" s="4" t="s">
        <v>205</v>
      </c>
      <c r="B235" s="9">
        <v>50</v>
      </c>
      <c r="C235" s="9"/>
      <c r="D235" s="10">
        <v>226.80000000000001</v>
      </c>
    </row>
    <row r="236" ht="16.5">
      <c r="A236" s="4" t="s">
        <v>206</v>
      </c>
      <c r="B236" s="9">
        <v>180</v>
      </c>
      <c r="C236" s="9"/>
      <c r="D236" s="10">
        <v>422.10000000000002</v>
      </c>
    </row>
    <row r="237" ht="16.5">
      <c r="A237" s="4" t="s">
        <v>207</v>
      </c>
      <c r="B237" s="9">
        <v>120</v>
      </c>
      <c r="C237" s="9"/>
      <c r="D237" s="10">
        <v>793.79999999999995</v>
      </c>
    </row>
    <row r="238" ht="16.5">
      <c r="A238" s="4" t="s">
        <v>208</v>
      </c>
      <c r="B238" s="9">
        <v>80</v>
      </c>
      <c r="C238" s="9"/>
      <c r="D238" s="10">
        <v>472.5</v>
      </c>
    </row>
    <row r="239" ht="16.5">
      <c r="A239" s="4" t="s">
        <v>208</v>
      </c>
      <c r="B239" s="9">
        <v>40</v>
      </c>
      <c r="C239" s="9"/>
      <c r="D239" s="10">
        <v>264.60000000000002</v>
      </c>
    </row>
    <row r="240" ht="16.5">
      <c r="A240" s="4" t="s">
        <v>209</v>
      </c>
      <c r="B240" s="9">
        <v>40</v>
      </c>
      <c r="C240" s="9"/>
      <c r="D240" s="10">
        <v>201.59999999999999</v>
      </c>
    </row>
    <row r="241" ht="16.5">
      <c r="A241" s="4" t="s">
        <v>210</v>
      </c>
      <c r="B241" s="9">
        <v>30</v>
      </c>
      <c r="C241" s="9"/>
      <c r="D241" s="9">
        <v>126</v>
      </c>
    </row>
    <row r="242" ht="33">
      <c r="A242" s="4" t="s">
        <v>211</v>
      </c>
      <c r="B242" s="9">
        <v>80</v>
      </c>
      <c r="C242" s="9"/>
      <c r="D242" s="10">
        <v>264.60000000000002</v>
      </c>
    </row>
    <row r="243" ht="16.5">
      <c r="A243" s="4" t="s">
        <v>212</v>
      </c>
      <c r="B243" s="9">
        <v>60</v>
      </c>
      <c r="C243" s="9"/>
      <c r="D243" s="10">
        <v>403.19999999999999</v>
      </c>
    </row>
    <row r="244" ht="16.5">
      <c r="A244" s="4" t="s">
        <v>213</v>
      </c>
      <c r="B244" s="9">
        <v>100</v>
      </c>
      <c r="C244" s="9"/>
      <c r="D244" s="10">
        <v>388.5</v>
      </c>
    </row>
    <row r="245" ht="16.5">
      <c r="A245" s="4"/>
      <c r="B245" s="3"/>
      <c r="C245" s="3"/>
      <c r="D245" s="9"/>
    </row>
    <row r="246" ht="23.25">
      <c r="A246" s="8" t="s">
        <v>214</v>
      </c>
      <c r="B246" s="3"/>
      <c r="C246" s="3"/>
      <c r="D246" s="9"/>
    </row>
    <row r="247" ht="16.5">
      <c r="A247" s="4" t="s">
        <v>215</v>
      </c>
      <c r="B247" s="9">
        <v>150</v>
      </c>
      <c r="C247" s="9"/>
      <c r="D247" s="10">
        <v>264.60000000000002</v>
      </c>
    </row>
    <row r="248" ht="16.5">
      <c r="A248" s="4" t="s">
        <v>216</v>
      </c>
      <c r="B248" s="9">
        <v>100</v>
      </c>
      <c r="C248" s="9"/>
      <c r="D248" s="10">
        <v>207.90000000000001</v>
      </c>
    </row>
    <row r="249" ht="16.5">
      <c r="A249" s="4" t="s">
        <v>217</v>
      </c>
      <c r="B249" s="9">
        <v>150</v>
      </c>
      <c r="C249" s="9"/>
      <c r="D249" s="10">
        <v>409.5</v>
      </c>
    </row>
    <row r="250" ht="16.5">
      <c r="A250" s="4" t="s">
        <v>218</v>
      </c>
      <c r="B250" s="9">
        <v>150</v>
      </c>
      <c r="C250" s="9"/>
      <c r="D250" s="10">
        <v>296.10000000000002</v>
      </c>
    </row>
    <row r="251" ht="16.5">
      <c r="A251" s="4" t="s">
        <v>208</v>
      </c>
      <c r="B251" s="9">
        <v>80</v>
      </c>
      <c r="C251" s="9"/>
      <c r="D251" s="10">
        <v>396.89999999999998</v>
      </c>
    </row>
    <row r="252" ht="16.5">
      <c r="A252" s="4" t="s">
        <v>219</v>
      </c>
      <c r="B252" s="9">
        <v>120</v>
      </c>
      <c r="C252" s="9"/>
      <c r="D252" s="10">
        <v>317.10000000000002</v>
      </c>
    </row>
    <row r="253" ht="16.5">
      <c r="A253" s="4" t="s">
        <v>220</v>
      </c>
      <c r="B253" s="9">
        <v>50</v>
      </c>
      <c r="C253" s="9"/>
      <c r="D253" s="10">
        <v>176.40000000000001</v>
      </c>
    </row>
    <row r="254" ht="16.5">
      <c r="A254" s="4" t="s">
        <v>221</v>
      </c>
      <c r="B254" s="9">
        <v>35</v>
      </c>
      <c r="C254" s="9"/>
      <c r="D254" s="9">
        <v>252</v>
      </c>
    </row>
    <row r="255" ht="16.5">
      <c r="A255" s="4" t="s">
        <v>222</v>
      </c>
      <c r="B255" s="9">
        <v>100</v>
      </c>
      <c r="C255" s="9"/>
      <c r="D255" s="10">
        <v>283.5</v>
      </c>
    </row>
    <row r="256" ht="16.5">
      <c r="A256" s="4" t="s">
        <v>223</v>
      </c>
      <c r="B256" s="9">
        <v>60</v>
      </c>
      <c r="C256" s="9"/>
      <c r="D256" s="10">
        <v>207.90000000000001</v>
      </c>
    </row>
    <row r="257" ht="16.5">
      <c r="A257" s="4" t="s">
        <v>224</v>
      </c>
      <c r="B257" s="9">
        <v>100</v>
      </c>
      <c r="C257" s="9"/>
      <c r="D257" s="10">
        <v>264.60000000000002</v>
      </c>
    </row>
    <row r="258" ht="16.5">
      <c r="A258" s="4" t="s">
        <v>225</v>
      </c>
      <c r="B258" s="9">
        <v>180</v>
      </c>
      <c r="C258" s="9"/>
      <c r="D258" s="10">
        <v>207.90000000000001</v>
      </c>
    </row>
    <row r="259" ht="16.5">
      <c r="A259" s="4" t="s">
        <v>216</v>
      </c>
      <c r="B259" s="9">
        <v>120</v>
      </c>
      <c r="C259" s="9"/>
      <c r="D259" s="10">
        <v>308.69999999999999</v>
      </c>
    </row>
    <row r="260" ht="16.5">
      <c r="A260" s="4" t="s">
        <v>206</v>
      </c>
      <c r="B260" s="9">
        <v>130</v>
      </c>
      <c r="C260" s="9"/>
      <c r="D260" s="10">
        <v>352.80000000000001</v>
      </c>
    </row>
    <row r="261" ht="16.5">
      <c r="A261" s="4" t="s">
        <v>226</v>
      </c>
      <c r="B261" s="9">
        <v>100</v>
      </c>
      <c r="C261" s="9"/>
      <c r="D261" s="10">
        <v>176.40000000000001</v>
      </c>
    </row>
    <row r="262" ht="16.5">
      <c r="A262" s="4"/>
      <c r="B262" s="3"/>
      <c r="C262" s="3"/>
      <c r="D262" s="9"/>
    </row>
    <row r="263" ht="23.25">
      <c r="A263" s="8" t="s">
        <v>227</v>
      </c>
      <c r="B263" s="3"/>
      <c r="C263" s="3"/>
      <c r="D263" s="9"/>
    </row>
    <row r="264" ht="16.5">
      <c r="A264" s="4" t="s">
        <v>228</v>
      </c>
      <c r="B264" s="9">
        <v>220</v>
      </c>
      <c r="C264" s="9"/>
      <c r="D264" s="10">
        <v>1253.7</v>
      </c>
    </row>
    <row r="265" ht="16.5">
      <c r="A265" s="4" t="s">
        <v>229</v>
      </c>
      <c r="B265" s="9">
        <v>240</v>
      </c>
      <c r="C265" s="9"/>
      <c r="D265" s="9">
        <v>1701</v>
      </c>
    </row>
    <row r="266" ht="33">
      <c r="A266" s="4" t="s">
        <v>230</v>
      </c>
      <c r="B266" s="9">
        <v>210</v>
      </c>
      <c r="C266" s="9"/>
      <c r="D266" s="10">
        <v>687.75</v>
      </c>
    </row>
    <row r="267" ht="33">
      <c r="A267" s="4" t="s">
        <v>231</v>
      </c>
      <c r="B267" s="9">
        <v>220</v>
      </c>
      <c r="C267" s="9"/>
      <c r="D267" s="10">
        <v>1077.3</v>
      </c>
    </row>
    <row r="268" ht="33">
      <c r="A268" s="4" t="s">
        <v>232</v>
      </c>
      <c r="B268" s="9">
        <v>220</v>
      </c>
      <c r="C268" s="9"/>
      <c r="D268" s="10">
        <v>1108.8</v>
      </c>
    </row>
    <row r="269" ht="16.5">
      <c r="A269" s="4" t="s">
        <v>233</v>
      </c>
      <c r="B269" s="9">
        <v>240</v>
      </c>
      <c r="C269" s="9"/>
      <c r="D269" s="10">
        <v>1430.0999999999999</v>
      </c>
    </row>
    <row r="270" ht="16.5">
      <c r="A270" s="4" t="s">
        <v>234</v>
      </c>
      <c r="B270" s="9">
        <v>280</v>
      </c>
      <c r="C270" s="9"/>
      <c r="D270" s="10">
        <v>1190.7</v>
      </c>
    </row>
    <row r="271" ht="33">
      <c r="A271" s="4" t="s">
        <v>235</v>
      </c>
      <c r="B271" s="9">
        <v>280</v>
      </c>
      <c r="C271" s="9"/>
      <c r="D271" s="10">
        <v>1190.7</v>
      </c>
    </row>
    <row r="272" ht="16.5">
      <c r="A272" s="4" t="s">
        <v>236</v>
      </c>
      <c r="B272" s="9">
        <v>220</v>
      </c>
      <c r="C272" s="9"/>
      <c r="D272" s="10">
        <v>1052.0999999999999</v>
      </c>
    </row>
    <row r="273" ht="16.5">
      <c r="A273" s="4" t="s">
        <v>237</v>
      </c>
      <c r="B273" s="9">
        <v>180</v>
      </c>
      <c r="C273" s="9"/>
      <c r="D273" s="10">
        <v>737.10000000000002</v>
      </c>
    </row>
    <row r="274" ht="33">
      <c r="A274" s="4" t="s">
        <v>238</v>
      </c>
      <c r="B274" s="9">
        <v>280</v>
      </c>
      <c r="C274" s="9"/>
      <c r="D274" s="10">
        <v>1165.5</v>
      </c>
    </row>
    <row r="275" ht="33">
      <c r="A275" s="4" t="s">
        <v>239</v>
      </c>
      <c r="B275" s="9">
        <v>220</v>
      </c>
      <c r="C275" s="9"/>
      <c r="D275" s="10">
        <v>989.10000000000002</v>
      </c>
    </row>
    <row r="276" ht="33">
      <c r="A276" s="4" t="s">
        <v>240</v>
      </c>
      <c r="B276" s="9">
        <v>320</v>
      </c>
      <c r="C276" s="9"/>
      <c r="D276" s="10">
        <v>970.20000000000005</v>
      </c>
    </row>
    <row r="277" ht="33">
      <c r="A277" s="4" t="s">
        <v>241</v>
      </c>
      <c r="B277" s="9">
        <v>320</v>
      </c>
      <c r="C277" s="9"/>
      <c r="D277" s="9">
        <v>441</v>
      </c>
    </row>
    <row r="278" ht="16.5">
      <c r="A278" s="4" t="s">
        <v>242</v>
      </c>
      <c r="B278" s="9">
        <v>150</v>
      </c>
      <c r="C278" s="9"/>
      <c r="D278" s="10">
        <v>327.60000000000002</v>
      </c>
    </row>
    <row r="279" ht="16.5">
      <c r="A279" s="4" t="s">
        <v>243</v>
      </c>
      <c r="B279" s="9">
        <v>150</v>
      </c>
      <c r="C279" s="9"/>
      <c r="D279" s="10">
        <v>327.60000000000002</v>
      </c>
    </row>
    <row r="280" ht="16.5">
      <c r="A280" s="4"/>
      <c r="B280" s="3"/>
      <c r="C280" s="3"/>
      <c r="D280" s="9"/>
    </row>
    <row r="281" ht="23.25">
      <c r="A281" s="8" t="s">
        <v>244</v>
      </c>
      <c r="B281" s="3"/>
      <c r="C281" s="3"/>
      <c r="D281" s="9"/>
    </row>
    <row r="282" ht="16.5">
      <c r="A282" s="4" t="s">
        <v>245</v>
      </c>
      <c r="B282" s="9">
        <v>220</v>
      </c>
      <c r="C282" s="9"/>
      <c r="D282" s="9">
        <v>2520</v>
      </c>
    </row>
    <row r="283" ht="16.5">
      <c r="A283" s="4" t="s">
        <v>246</v>
      </c>
      <c r="B283" s="9">
        <v>220</v>
      </c>
      <c r="C283" s="9"/>
      <c r="D283" s="9">
        <v>567</v>
      </c>
    </row>
    <row r="284" ht="16.5">
      <c r="A284" s="4" t="s">
        <v>247</v>
      </c>
      <c r="B284" s="9">
        <v>220</v>
      </c>
      <c r="C284" s="9"/>
      <c r="D284" s="10">
        <v>869.39999999999998</v>
      </c>
    </row>
    <row r="285" ht="16.5">
      <c r="A285" s="4" t="s">
        <v>248</v>
      </c>
      <c r="B285" s="9">
        <v>220</v>
      </c>
      <c r="C285" s="9"/>
      <c r="D285" s="9">
        <v>441</v>
      </c>
    </row>
    <row r="286" ht="33">
      <c r="A286" s="4" t="s">
        <v>249</v>
      </c>
      <c r="B286" s="9">
        <v>230</v>
      </c>
      <c r="C286" s="9"/>
      <c r="D286" s="10">
        <v>623.70000000000005</v>
      </c>
    </row>
    <row r="287" ht="33">
      <c r="A287" s="4" t="s">
        <v>250</v>
      </c>
      <c r="B287" s="9">
        <v>230</v>
      </c>
      <c r="C287" s="9"/>
      <c r="D287" s="10">
        <v>768.60000000000002</v>
      </c>
    </row>
    <row r="288" ht="16.5">
      <c r="A288" s="4" t="s">
        <v>251</v>
      </c>
      <c r="B288" s="9">
        <v>280</v>
      </c>
      <c r="C288" s="9"/>
      <c r="D288" s="10">
        <v>686.70000000000005</v>
      </c>
    </row>
    <row r="289" ht="16.5">
      <c r="A289" s="4" t="s">
        <v>252</v>
      </c>
      <c r="B289" s="9">
        <v>250</v>
      </c>
      <c r="C289" s="9"/>
      <c r="D289" s="10">
        <v>674.10000000000002</v>
      </c>
    </row>
    <row r="290" ht="16.5">
      <c r="A290" s="4" t="s">
        <v>253</v>
      </c>
      <c r="B290" s="9">
        <v>220</v>
      </c>
      <c r="C290" s="9"/>
      <c r="D290" s="10">
        <v>806.39999999999998</v>
      </c>
    </row>
    <row r="291" ht="16.5">
      <c r="A291" s="4" t="s">
        <v>254</v>
      </c>
      <c r="B291" s="9">
        <v>180</v>
      </c>
      <c r="C291" s="9"/>
      <c r="D291" s="10">
        <v>844.20000000000005</v>
      </c>
    </row>
    <row r="292" ht="66">
      <c r="A292" s="4" t="s">
        <v>255</v>
      </c>
      <c r="B292" s="9">
        <v>300</v>
      </c>
      <c r="C292" s="9"/>
      <c r="D292" s="10">
        <v>1499.4000000000001</v>
      </c>
    </row>
    <row r="293" ht="16.5">
      <c r="A293" s="4" t="s">
        <v>256</v>
      </c>
      <c r="B293" s="9">
        <v>180</v>
      </c>
      <c r="C293" s="9"/>
      <c r="D293" s="10">
        <v>831.60000000000002</v>
      </c>
    </row>
    <row r="294" ht="16.5">
      <c r="A294" s="4" t="s">
        <v>257</v>
      </c>
      <c r="B294" s="9">
        <v>130</v>
      </c>
      <c r="C294" s="9"/>
      <c r="D294" s="10">
        <v>529.20000000000005</v>
      </c>
    </row>
    <row r="295" ht="16.5">
      <c r="A295" s="4"/>
      <c r="B295" s="3"/>
      <c r="C295" s="3"/>
      <c r="D295" s="9"/>
    </row>
    <row r="296" ht="23.25">
      <c r="A296" s="8" t="s">
        <v>258</v>
      </c>
      <c r="B296" s="3"/>
      <c r="C296" s="3"/>
      <c r="D296" s="9"/>
    </row>
    <row r="297" ht="16.5">
      <c r="A297" s="4" t="s">
        <v>259</v>
      </c>
      <c r="B297" s="9">
        <v>155</v>
      </c>
      <c r="C297" s="9"/>
      <c r="D297" s="10">
        <v>919.79999999999995</v>
      </c>
    </row>
    <row r="298" ht="16.5">
      <c r="A298" s="4" t="s">
        <v>260</v>
      </c>
      <c r="B298" s="9">
        <v>100</v>
      </c>
      <c r="C298" s="9"/>
      <c r="D298" s="10">
        <v>340.19999999999999</v>
      </c>
    </row>
    <row r="299" ht="16.5">
      <c r="A299" s="4" t="s">
        <v>261</v>
      </c>
      <c r="B299" s="9">
        <v>100</v>
      </c>
      <c r="C299" s="9"/>
      <c r="D299" s="10">
        <v>264.60000000000002</v>
      </c>
    </row>
    <row r="300" ht="16.5">
      <c r="A300" s="4" t="s">
        <v>262</v>
      </c>
      <c r="B300" s="9">
        <v>350</v>
      </c>
      <c r="C300" s="9"/>
      <c r="D300" s="10">
        <v>1026.9000000000001</v>
      </c>
    </row>
    <row r="301" ht="16.5">
      <c r="A301" s="4" t="s">
        <v>263</v>
      </c>
      <c r="B301" s="9">
        <v>100</v>
      </c>
      <c r="C301" s="9"/>
      <c r="D301" s="10">
        <v>674.10000000000002</v>
      </c>
    </row>
    <row r="302" ht="16.5">
      <c r="A302" s="4" t="s">
        <v>264</v>
      </c>
      <c r="B302" s="9">
        <v>120</v>
      </c>
      <c r="C302" s="9"/>
      <c r="D302" s="10">
        <v>352.80000000000001</v>
      </c>
    </row>
    <row r="303" ht="16.5">
      <c r="A303" s="4" t="s">
        <v>265</v>
      </c>
      <c r="B303" s="9">
        <v>100</v>
      </c>
      <c r="C303" s="9"/>
      <c r="D303" s="10">
        <v>617.39999999999998</v>
      </c>
    </row>
    <row r="304" ht="16.5">
      <c r="A304" s="4" t="s">
        <v>224</v>
      </c>
      <c r="B304" s="9">
        <v>100</v>
      </c>
      <c r="C304" s="9"/>
      <c r="D304" s="10">
        <v>214.19999999999999</v>
      </c>
    </row>
    <row r="305" ht="16.5">
      <c r="A305" s="4" t="s">
        <v>266</v>
      </c>
      <c r="B305" s="9">
        <v>300</v>
      </c>
      <c r="C305" s="9"/>
      <c r="D305" s="10">
        <v>674.10000000000002</v>
      </c>
    </row>
    <row r="306" ht="16.5">
      <c r="A306" s="4" t="s">
        <v>267</v>
      </c>
      <c r="B306" s="9">
        <v>150</v>
      </c>
      <c r="C306" s="9"/>
      <c r="D306" s="10">
        <v>806.39999999999998</v>
      </c>
    </row>
    <row r="307" ht="33">
      <c r="A307" s="4" t="s">
        <v>268</v>
      </c>
      <c r="B307" s="9">
        <v>320</v>
      </c>
      <c r="C307" s="9"/>
      <c r="D307" s="10">
        <v>743.39999999999998</v>
      </c>
    </row>
    <row r="308" ht="16.5">
      <c r="A308" s="4"/>
      <c r="B308" s="3"/>
      <c r="C308" s="3"/>
      <c r="D308" s="9"/>
    </row>
    <row r="309" ht="23.25">
      <c r="A309" s="8" t="s">
        <v>269</v>
      </c>
      <c r="B309" s="3"/>
      <c r="C309" s="3"/>
      <c r="D309" s="9"/>
    </row>
    <row r="310" ht="16.5">
      <c r="A310" s="4" t="s">
        <v>270</v>
      </c>
      <c r="B310" s="9">
        <v>100</v>
      </c>
      <c r="C310" s="9"/>
      <c r="D310" s="9">
        <v>441</v>
      </c>
    </row>
    <row r="311" ht="16.5">
      <c r="A311" s="4" t="s">
        <v>271</v>
      </c>
      <c r="B311" s="9">
        <v>50</v>
      </c>
      <c r="C311" s="9"/>
      <c r="D311" s="9">
        <v>189</v>
      </c>
    </row>
    <row r="312" ht="16.5">
      <c r="A312" s="4" t="s">
        <v>272</v>
      </c>
      <c r="B312" s="9">
        <v>50</v>
      </c>
      <c r="C312" s="9"/>
      <c r="D312" s="10">
        <v>264.60000000000002</v>
      </c>
    </row>
    <row r="313" ht="16.5">
      <c r="A313" s="4"/>
      <c r="B313" s="3"/>
      <c r="C313" s="3"/>
      <c r="D313" s="9"/>
    </row>
    <row r="314" ht="23.25">
      <c r="A314" s="8" t="s">
        <v>273</v>
      </c>
      <c r="B314" s="3"/>
      <c r="C314" s="3"/>
      <c r="D314" s="9"/>
    </row>
    <row r="315" ht="16.5">
      <c r="A315" s="4" t="s">
        <v>274</v>
      </c>
      <c r="B315" s="9">
        <v>100</v>
      </c>
      <c r="C315" s="9"/>
      <c r="D315" s="10">
        <v>195.30000000000001</v>
      </c>
    </row>
    <row r="316" ht="16.5">
      <c r="A316" s="4" t="s">
        <v>275</v>
      </c>
      <c r="B316" s="9">
        <v>100</v>
      </c>
      <c r="C316" s="9"/>
      <c r="D316" s="10">
        <v>264.60000000000002</v>
      </c>
    </row>
    <row r="317" ht="16.5">
      <c r="A317" s="4" t="s">
        <v>276</v>
      </c>
      <c r="B317" s="9">
        <v>330</v>
      </c>
      <c r="C317" s="9"/>
      <c r="D317" s="10">
        <v>396.89999999999998</v>
      </c>
    </row>
    <row r="318" ht="16.5">
      <c r="A318" s="4" t="s">
        <v>277</v>
      </c>
      <c r="B318" s="9">
        <v>330</v>
      </c>
      <c r="C318" s="9"/>
      <c r="D318" s="10">
        <v>317.10000000000002</v>
      </c>
    </row>
    <row r="319" ht="16.5">
      <c r="A319" s="4"/>
      <c r="B319" s="3"/>
      <c r="C319" s="3"/>
      <c r="D319" s="9"/>
    </row>
    <row r="320" ht="23.25">
      <c r="A320" s="8" t="s">
        <v>278</v>
      </c>
      <c r="B320" s="3"/>
      <c r="C320" s="3"/>
      <c r="D320" s="9"/>
    </row>
    <row r="321" ht="49.5">
      <c r="A321" s="4" t="s">
        <v>279</v>
      </c>
      <c r="B321" s="9">
        <v>330</v>
      </c>
      <c r="C321" s="9"/>
      <c r="D321" s="10">
        <v>1052.0999999999999</v>
      </c>
    </row>
    <row r="322" ht="16.5">
      <c r="A322" s="4" t="s">
        <v>280</v>
      </c>
      <c r="B322" s="9">
        <v>330</v>
      </c>
      <c r="C322" s="9"/>
      <c r="D322" s="10">
        <v>926.10000000000002</v>
      </c>
    </row>
    <row r="323" ht="33">
      <c r="A323" s="4" t="s">
        <v>281</v>
      </c>
      <c r="B323" s="9">
        <v>330</v>
      </c>
      <c r="C323" s="9"/>
      <c r="D323" s="10">
        <v>875.70000000000005</v>
      </c>
    </row>
    <row r="324" ht="33">
      <c r="A324" s="4" t="s">
        <v>282</v>
      </c>
      <c r="B324" s="9">
        <v>330</v>
      </c>
      <c r="C324" s="9"/>
      <c r="D324" s="10">
        <v>787.5</v>
      </c>
    </row>
    <row r="325" ht="33">
      <c r="A325" s="4" t="s">
        <v>283</v>
      </c>
      <c r="B325" s="9">
        <v>330</v>
      </c>
      <c r="C325" s="9"/>
      <c r="D325" s="10">
        <v>730.79999999999995</v>
      </c>
    </row>
    <row r="326" ht="33">
      <c r="A326" s="4" t="s">
        <v>284</v>
      </c>
      <c r="B326" s="9">
        <v>330</v>
      </c>
      <c r="C326" s="9"/>
      <c r="D326" s="10">
        <v>768.60000000000002</v>
      </c>
    </row>
    <row r="327" ht="33">
      <c r="A327" s="4" t="s">
        <v>285</v>
      </c>
      <c r="B327" s="9">
        <v>330</v>
      </c>
      <c r="C327" s="9"/>
      <c r="D327" s="10">
        <v>718.20000000000005</v>
      </c>
    </row>
    <row r="328" ht="16.5">
      <c r="A328" s="4" t="s">
        <v>286</v>
      </c>
      <c r="B328" s="9">
        <v>330</v>
      </c>
      <c r="C328" s="9"/>
      <c r="D328" s="10">
        <v>787.5</v>
      </c>
    </row>
    <row r="329" ht="33">
      <c r="A329" s="4" t="s">
        <v>287</v>
      </c>
      <c r="B329" s="9">
        <v>330</v>
      </c>
      <c r="C329" s="9"/>
      <c r="D329" s="10">
        <v>686.70000000000005</v>
      </c>
    </row>
    <row r="330" ht="33">
      <c r="A330" s="4" t="s">
        <v>288</v>
      </c>
      <c r="B330" s="9">
        <v>330</v>
      </c>
      <c r="C330" s="9"/>
      <c r="D330" s="9">
        <v>945</v>
      </c>
    </row>
    <row r="331" ht="33">
      <c r="A331" s="4" t="s">
        <v>289</v>
      </c>
      <c r="B331" s="9">
        <v>330</v>
      </c>
      <c r="C331" s="9"/>
      <c r="D331" s="10">
        <v>768.60000000000002</v>
      </c>
    </row>
    <row r="332" ht="16.5">
      <c r="A332" s="4"/>
      <c r="B332" s="3"/>
      <c r="C332" s="3"/>
      <c r="D332" s="9"/>
    </row>
    <row r="333" ht="23.25">
      <c r="A333" s="8" t="s">
        <v>290</v>
      </c>
      <c r="B333" s="3"/>
      <c r="C333" s="3"/>
      <c r="D333" s="9"/>
    </row>
    <row r="334" ht="16.5">
      <c r="A334" s="4" t="s">
        <v>291</v>
      </c>
      <c r="B334" s="9">
        <v>40</v>
      </c>
      <c r="C334" s="9"/>
      <c r="D334" s="10">
        <v>170.09999999999999</v>
      </c>
    </row>
    <row r="335" ht="16.5">
      <c r="A335" s="4" t="s">
        <v>292</v>
      </c>
      <c r="B335" s="9">
        <v>50</v>
      </c>
      <c r="C335" s="9"/>
      <c r="D335" s="10">
        <v>176.40000000000001</v>
      </c>
    </row>
    <row r="336" ht="16.5">
      <c r="A336" s="4" t="s">
        <v>293</v>
      </c>
      <c r="B336" s="9">
        <v>40</v>
      </c>
      <c r="C336" s="9"/>
      <c r="D336" s="10">
        <v>163.80000000000001</v>
      </c>
    </row>
    <row r="337" ht="16.5">
      <c r="A337" s="4" t="s">
        <v>294</v>
      </c>
      <c r="B337" s="9">
        <v>40</v>
      </c>
      <c r="C337" s="9"/>
      <c r="D337" s="10">
        <v>163.80000000000001</v>
      </c>
    </row>
    <row r="338" ht="16.5">
      <c r="A338" s="4" t="s">
        <v>295</v>
      </c>
      <c r="B338" s="9">
        <v>40</v>
      </c>
      <c r="C338" s="9"/>
      <c r="D338" s="10">
        <v>163.80000000000001</v>
      </c>
    </row>
    <row r="339" ht="16.5">
      <c r="A339" s="4" t="s">
        <v>296</v>
      </c>
      <c r="B339" s="9">
        <v>40</v>
      </c>
      <c r="C339" s="9"/>
      <c r="D339" s="10">
        <v>176.40000000000001</v>
      </c>
    </row>
    <row r="340" ht="16.5">
      <c r="A340" s="4" t="s">
        <v>297</v>
      </c>
      <c r="B340" s="9">
        <v>40</v>
      </c>
      <c r="C340" s="9"/>
      <c r="D340" s="10">
        <v>176.40000000000001</v>
      </c>
    </row>
    <row r="341" ht="16.5">
      <c r="A341" s="4" t="s">
        <v>298</v>
      </c>
      <c r="B341" s="9">
        <v>25</v>
      </c>
      <c r="C341" s="9"/>
      <c r="D341" s="10">
        <v>107.09999999999999</v>
      </c>
    </row>
    <row r="342" ht="16.5">
      <c r="A342" s="4" t="s">
        <v>299</v>
      </c>
      <c r="B342" s="9">
        <v>25</v>
      </c>
      <c r="C342" s="9"/>
      <c r="D342" s="10">
        <v>94.5</v>
      </c>
    </row>
    <row r="343" ht="16.5">
      <c r="A343" s="4" t="s">
        <v>300</v>
      </c>
      <c r="B343" s="9">
        <v>50</v>
      </c>
      <c r="C343" s="9"/>
      <c r="D343" s="10">
        <v>214.19999999999999</v>
      </c>
    </row>
    <row r="344" ht="16.5">
      <c r="A344" s="4" t="s">
        <v>301</v>
      </c>
      <c r="B344" s="9">
        <v>50</v>
      </c>
      <c r="C344" s="9"/>
      <c r="D344" s="10">
        <v>176.40000000000001</v>
      </c>
    </row>
    <row r="345" ht="16.5">
      <c r="A345" s="4" t="s">
        <v>302</v>
      </c>
      <c r="B345" s="9">
        <v>50</v>
      </c>
      <c r="C345" s="9"/>
      <c r="D345" s="10">
        <v>107.09999999999999</v>
      </c>
    </row>
    <row r="346" ht="16.5">
      <c r="A346" s="4" t="s">
        <v>303</v>
      </c>
      <c r="B346" s="9">
        <v>50</v>
      </c>
      <c r="C346" s="9"/>
      <c r="D346" s="10">
        <v>132.30000000000001</v>
      </c>
    </row>
    <row r="347" ht="16.5">
      <c r="A347" s="4" t="s">
        <v>304</v>
      </c>
      <c r="B347" s="9">
        <v>50</v>
      </c>
      <c r="C347" s="9"/>
      <c r="D347" s="10">
        <v>157.5</v>
      </c>
    </row>
    <row r="348" ht="16.5">
      <c r="A348" s="4" t="s">
        <v>305</v>
      </c>
      <c r="B348" s="9">
        <v>50</v>
      </c>
      <c r="C348" s="9"/>
      <c r="D348" s="10">
        <v>195.30000000000001</v>
      </c>
    </row>
    <row r="349" ht="16.5">
      <c r="A349" s="4" t="s">
        <v>306</v>
      </c>
      <c r="B349" s="9">
        <v>50</v>
      </c>
      <c r="C349" s="9"/>
      <c r="D349" s="10">
        <v>214.19999999999999</v>
      </c>
    </row>
    <row r="350" ht="16.5">
      <c r="A350" s="4" t="s">
        <v>307</v>
      </c>
      <c r="B350" s="9">
        <v>1</v>
      </c>
      <c r="C350" s="9"/>
      <c r="D350" s="9"/>
    </row>
    <row r="351" ht="23.25">
      <c r="A351" s="8" t="s">
        <v>308</v>
      </c>
      <c r="B351" s="3"/>
      <c r="C351" s="3"/>
      <c r="D351" s="9"/>
    </row>
    <row r="352" ht="16.5">
      <c r="A352" s="4" t="s">
        <v>309</v>
      </c>
      <c r="B352" s="9">
        <v>130</v>
      </c>
      <c r="C352" s="9"/>
      <c r="D352" s="10">
        <v>655.20000000000005</v>
      </c>
    </row>
    <row r="353" ht="23.25">
      <c r="A353" s="8" t="s">
        <v>310</v>
      </c>
      <c r="B353" s="3"/>
      <c r="C353" s="3"/>
      <c r="D353" s="9"/>
    </row>
    <row r="354" ht="16.5">
      <c r="A354" s="4" t="s">
        <v>311</v>
      </c>
      <c r="B354" s="9">
        <v>40</v>
      </c>
      <c r="C354" s="9"/>
      <c r="D354" s="10">
        <v>157.5</v>
      </c>
    </row>
    <row r="355" ht="16.5">
      <c r="A355" s="4" t="s">
        <v>312</v>
      </c>
      <c r="B355" s="9">
        <v>40</v>
      </c>
      <c r="C355" s="9"/>
      <c r="D355" s="10">
        <v>176.40000000000001</v>
      </c>
    </row>
    <row r="356" ht="16.5">
      <c r="A356" s="4" t="s">
        <v>313</v>
      </c>
      <c r="B356" s="9">
        <v>40</v>
      </c>
      <c r="C356" s="9"/>
      <c r="D356" s="10">
        <v>157.5</v>
      </c>
    </row>
    <row r="357" ht="16.5">
      <c r="A357" s="4" t="s">
        <v>314</v>
      </c>
      <c r="B357" s="9">
        <v>50</v>
      </c>
      <c r="C357" s="9"/>
      <c r="D357" s="10">
        <v>317.10000000000002</v>
      </c>
    </row>
    <row r="358" ht="16.5">
      <c r="A358" s="4" t="s">
        <v>315</v>
      </c>
      <c r="B358" s="9">
        <v>50</v>
      </c>
      <c r="C358" s="9"/>
      <c r="D358" s="10">
        <v>207.90000000000001</v>
      </c>
    </row>
    <row r="359" ht="16.5">
      <c r="A359" s="4" t="s">
        <v>316</v>
      </c>
      <c r="B359" s="9">
        <v>50</v>
      </c>
      <c r="C359" s="9"/>
      <c r="D359" s="10">
        <v>207.90000000000001</v>
      </c>
    </row>
    <row r="360" ht="33">
      <c r="A360" s="4" t="s">
        <v>317</v>
      </c>
      <c r="B360" s="9">
        <v>50</v>
      </c>
      <c r="C360" s="9"/>
      <c r="D360" s="10">
        <v>264.60000000000002</v>
      </c>
    </row>
    <row r="361" ht="16.5">
      <c r="A361" s="4" t="s">
        <v>318</v>
      </c>
      <c r="B361" s="9">
        <v>50</v>
      </c>
      <c r="C361" s="9"/>
      <c r="D361" s="10">
        <v>233.09999999999999</v>
      </c>
    </row>
    <row r="362" ht="16.5">
      <c r="A362" s="4" t="s">
        <v>319</v>
      </c>
      <c r="B362" s="9">
        <v>35</v>
      </c>
      <c r="C362" s="9"/>
      <c r="D362" s="10">
        <v>176.40000000000001</v>
      </c>
    </row>
    <row r="363" ht="16.5">
      <c r="A363" s="4" t="s">
        <v>320</v>
      </c>
      <c r="B363" s="9">
        <v>35</v>
      </c>
      <c r="C363" s="9"/>
      <c r="D363" s="10">
        <v>233.09999999999999</v>
      </c>
    </row>
    <row r="364" ht="16.5">
      <c r="A364" s="4" t="s">
        <v>321</v>
      </c>
      <c r="B364" s="9">
        <v>30</v>
      </c>
      <c r="C364" s="9"/>
      <c r="D364" s="10">
        <v>113.40000000000001</v>
      </c>
    </row>
    <row r="365" ht="16.5">
      <c r="A365" s="4" t="s">
        <v>322</v>
      </c>
      <c r="B365" s="9">
        <v>350</v>
      </c>
      <c r="C365" s="9"/>
      <c r="D365" s="10">
        <v>2381.4000000000001</v>
      </c>
    </row>
    <row r="366" ht="16.5">
      <c r="A366" s="4" t="s">
        <v>323</v>
      </c>
      <c r="B366" s="9">
        <v>60</v>
      </c>
      <c r="C366" s="9"/>
      <c r="D366" s="9">
        <v>441</v>
      </c>
    </row>
    <row r="367" ht="16.5">
      <c r="A367" s="4" t="s">
        <v>324</v>
      </c>
      <c r="B367" s="9">
        <v>120</v>
      </c>
      <c r="C367" s="9"/>
      <c r="D367" s="10">
        <v>459.89999999999998</v>
      </c>
    </row>
    <row r="368" ht="16.5">
      <c r="A368" s="4" t="s">
        <v>325</v>
      </c>
      <c r="B368" s="9">
        <v>60</v>
      </c>
      <c r="C368" s="9"/>
      <c r="D368" s="10">
        <v>390.60000000000002</v>
      </c>
    </row>
    <row r="369" ht="33">
      <c r="A369" s="4" t="s">
        <v>326</v>
      </c>
      <c r="B369" s="9">
        <v>1000</v>
      </c>
      <c r="C369" s="9"/>
      <c r="D369" s="9">
        <v>2457</v>
      </c>
    </row>
    <row r="370" ht="23.25">
      <c r="A370" s="8" t="s">
        <v>327</v>
      </c>
      <c r="B370" s="3"/>
      <c r="C370" s="3"/>
      <c r="D370" s="9"/>
    </row>
    <row r="371" ht="16.5">
      <c r="A371" s="13" t="s">
        <v>328</v>
      </c>
      <c r="B371" s="3"/>
      <c r="C371" s="3"/>
      <c r="D371" s="9">
        <v>3150</v>
      </c>
    </row>
    <row r="372" ht="16.5">
      <c r="A372" s="4" t="s">
        <v>329</v>
      </c>
      <c r="B372" s="3"/>
      <c r="C372" s="3"/>
      <c r="D372" s="9"/>
    </row>
    <row r="373" ht="16.5">
      <c r="A373" s="4" t="s">
        <v>330</v>
      </c>
      <c r="B373" s="3"/>
      <c r="C373" s="3"/>
      <c r="D373" s="9"/>
    </row>
    <row r="374" ht="16.5">
      <c r="A374" s="4" t="s">
        <v>331</v>
      </c>
      <c r="B374" s="3"/>
      <c r="C374" s="3"/>
      <c r="D374" s="9"/>
    </row>
    <row r="375" ht="16.5">
      <c r="A375" s="4" t="s">
        <v>332</v>
      </c>
      <c r="B375" s="3"/>
      <c r="C375" s="3"/>
      <c r="D375" s="9"/>
    </row>
    <row r="376" ht="16.5">
      <c r="A376" s="4" t="s">
        <v>333</v>
      </c>
      <c r="B376" s="3"/>
      <c r="C376" s="3"/>
      <c r="D376" s="9"/>
    </row>
    <row r="377" ht="16.5">
      <c r="A377" s="4" t="s">
        <v>334</v>
      </c>
      <c r="B377" s="3"/>
      <c r="C377" s="3"/>
      <c r="D377" s="9"/>
    </row>
    <row r="378" ht="16.5">
      <c r="A378" s="4" t="s">
        <v>335</v>
      </c>
      <c r="B378" s="3"/>
      <c r="C378" s="3"/>
      <c r="D378" s="9"/>
    </row>
    <row r="379" ht="16.5">
      <c r="A379" s="4" t="s">
        <v>336</v>
      </c>
      <c r="B379" s="3"/>
      <c r="C379" s="3"/>
      <c r="D379" s="9"/>
    </row>
    <row r="380" ht="16.5">
      <c r="A380" s="4" t="s">
        <v>337</v>
      </c>
      <c r="B380" s="3"/>
      <c r="C380" s="3"/>
      <c r="D380" s="9"/>
    </row>
    <row r="381" ht="16.5">
      <c r="A381" s="4" t="s">
        <v>315</v>
      </c>
      <c r="B381" s="3"/>
      <c r="C381" s="3"/>
      <c r="D381" s="9"/>
    </row>
    <row r="382" ht="16.5">
      <c r="A382" s="4" t="s">
        <v>338</v>
      </c>
      <c r="B382" s="3"/>
      <c r="C382" s="3"/>
      <c r="D382" s="9"/>
    </row>
    <row r="383" ht="16.5">
      <c r="A383" s="4" t="s">
        <v>339</v>
      </c>
      <c r="B383" s="3"/>
      <c r="C383" s="3"/>
      <c r="D383" s="9"/>
    </row>
    <row r="384" ht="16.5">
      <c r="A384" s="4" t="s">
        <v>340</v>
      </c>
      <c r="B384" s="3"/>
      <c r="C384" s="3"/>
      <c r="D384" s="9"/>
    </row>
    <row r="385" ht="16.5">
      <c r="A385" s="13" t="s">
        <v>341</v>
      </c>
      <c r="B385" s="3"/>
      <c r="C385" s="3"/>
      <c r="D385" s="9"/>
    </row>
    <row r="386" ht="16.5">
      <c r="A386" s="4" t="s">
        <v>342</v>
      </c>
      <c r="B386" s="3"/>
      <c r="C386" s="3"/>
      <c r="D386" s="9"/>
    </row>
    <row r="387" ht="16.5">
      <c r="A387" s="4" t="s">
        <v>343</v>
      </c>
      <c r="B387" s="3"/>
      <c r="C387" s="3"/>
      <c r="D387" s="9"/>
    </row>
    <row r="388" ht="16.5">
      <c r="A388" s="4" t="s">
        <v>344</v>
      </c>
      <c r="B388" s="3"/>
      <c r="C388" s="3"/>
      <c r="D388" s="9"/>
    </row>
    <row r="389" ht="16.5">
      <c r="A389" s="4" t="s">
        <v>345</v>
      </c>
      <c r="B389" s="3"/>
      <c r="C389" s="3"/>
      <c r="D389" s="9"/>
    </row>
    <row r="390" ht="16.5">
      <c r="A390" s="4" t="s">
        <v>346</v>
      </c>
      <c r="B390" s="3"/>
      <c r="C390" s="3"/>
      <c r="D390" s="9"/>
    </row>
    <row r="391" ht="16.5">
      <c r="A391" s="4" t="s">
        <v>330</v>
      </c>
      <c r="B391" s="3"/>
      <c r="C391" s="3"/>
      <c r="D391" s="9"/>
    </row>
    <row r="392" ht="16.5">
      <c r="A392" s="4" t="s">
        <v>347</v>
      </c>
      <c r="B392" s="3"/>
      <c r="C392" s="3"/>
      <c r="D392" s="9"/>
    </row>
    <row r="393" ht="16.5">
      <c r="A393" s="4" t="s">
        <v>348</v>
      </c>
      <c r="B393" s="3"/>
      <c r="C393" s="3"/>
      <c r="D393" s="9"/>
    </row>
    <row r="394" ht="16.5">
      <c r="A394" s="4" t="s">
        <v>349</v>
      </c>
      <c r="B394" s="3"/>
      <c r="C394" s="3"/>
      <c r="D394" s="9"/>
    </row>
    <row r="395" ht="16.5">
      <c r="A395" s="4" t="s">
        <v>350</v>
      </c>
      <c r="B395" s="3"/>
      <c r="C395" s="3"/>
      <c r="D395" s="9"/>
    </row>
    <row r="396" ht="16.5">
      <c r="A396" s="13" t="s">
        <v>351</v>
      </c>
      <c r="B396" s="3"/>
      <c r="C396" s="3"/>
      <c r="D396" s="9"/>
    </row>
    <row r="397" ht="16.5">
      <c r="A397" s="4" t="s">
        <v>352</v>
      </c>
      <c r="B397" s="9">
        <v>150</v>
      </c>
      <c r="C397" s="9"/>
      <c r="D397" s="9">
        <v>882</v>
      </c>
      <c r="H397" s="14"/>
    </row>
    <row r="398" ht="16.5">
      <c r="A398" s="4" t="s">
        <v>353</v>
      </c>
      <c r="B398" s="9">
        <v>200</v>
      </c>
      <c r="C398" s="9"/>
      <c r="D398" s="9">
        <v>882</v>
      </c>
    </row>
    <row r="399" ht="16.5">
      <c r="A399" s="4" t="s">
        <v>354</v>
      </c>
      <c r="B399" s="9">
        <v>200</v>
      </c>
      <c r="C399" s="9"/>
      <c r="D399" s="9">
        <v>1764</v>
      </c>
    </row>
    <row r="400" ht="16.5">
      <c r="A400" s="4" t="s">
        <v>355</v>
      </c>
      <c r="B400" s="9">
        <v>1</v>
      </c>
      <c r="C400" s="9"/>
      <c r="D400" s="9">
        <v>1764</v>
      </c>
    </row>
    <row r="401" ht="16.5">
      <c r="A401" s="4" t="s">
        <v>356</v>
      </c>
      <c r="B401" s="9">
        <v>1</v>
      </c>
      <c r="C401" s="9"/>
      <c r="D401" s="9">
        <v>1764</v>
      </c>
    </row>
    <row r="402" ht="16.5">
      <c r="A402" s="4" t="s">
        <v>357</v>
      </c>
      <c r="B402" s="9">
        <v>1</v>
      </c>
      <c r="C402" s="9"/>
      <c r="D402" s="9">
        <v>1764</v>
      </c>
    </row>
    <row r="403" ht="16.5">
      <c r="A403" s="4" t="s">
        <v>358</v>
      </c>
      <c r="B403" s="9">
        <v>1</v>
      </c>
      <c r="C403" s="9"/>
      <c r="D403" s="9">
        <v>882</v>
      </c>
    </row>
    <row r="404" ht="16.5">
      <c r="A404" s="4"/>
      <c r="B404" s="3"/>
      <c r="C404" s="3"/>
      <c r="D404" s="9"/>
    </row>
    <row r="405" ht="23.25">
      <c r="A405" s="8" t="s">
        <v>359</v>
      </c>
      <c r="B405" s="3"/>
      <c r="C405" s="3"/>
      <c r="D405" s="9"/>
    </row>
    <row r="406" ht="16.5">
      <c r="A406" s="4" t="s">
        <v>360</v>
      </c>
      <c r="B406" s="9">
        <v>250</v>
      </c>
      <c r="C406" s="9"/>
      <c r="D406" s="10">
        <v>351.75</v>
      </c>
    </row>
    <row r="407" ht="16.5">
      <c r="A407" s="4" t="s">
        <v>361</v>
      </c>
      <c r="B407" s="9">
        <v>250</v>
      </c>
      <c r="C407" s="9"/>
      <c r="D407" s="9">
        <v>525</v>
      </c>
    </row>
    <row r="408" ht="16.5">
      <c r="A408" s="4" t="s">
        <v>362</v>
      </c>
      <c r="B408" s="9">
        <v>250</v>
      </c>
      <c r="C408" s="9"/>
      <c r="D408" s="9">
        <v>525</v>
      </c>
    </row>
    <row r="409" ht="16.5">
      <c r="A409" s="4" t="s">
        <v>363</v>
      </c>
      <c r="B409" s="9">
        <v>250</v>
      </c>
      <c r="C409" s="9"/>
      <c r="D409" s="10">
        <v>708.75</v>
      </c>
    </row>
    <row r="410" ht="16.5">
      <c r="A410" s="4" t="s">
        <v>364</v>
      </c>
      <c r="B410" s="9">
        <v>150</v>
      </c>
      <c r="C410" s="9"/>
      <c r="D410" s="9">
        <v>441</v>
      </c>
    </row>
    <row r="411" ht="16.5">
      <c r="A411" s="4"/>
      <c r="B411" s="3"/>
      <c r="C411" s="3"/>
      <c r="D411" s="9"/>
    </row>
    <row r="412" ht="23.25">
      <c r="A412" s="8" t="s">
        <v>365</v>
      </c>
      <c r="B412" s="3"/>
      <c r="C412" s="3"/>
      <c r="D412" s="9"/>
    </row>
    <row r="413" ht="16.5">
      <c r="A413" s="4" t="s">
        <v>366</v>
      </c>
      <c r="B413" s="9">
        <v>500</v>
      </c>
      <c r="C413" s="9"/>
      <c r="D413" s="9">
        <v>126</v>
      </c>
    </row>
    <row r="414" ht="16.5">
      <c r="A414" s="4" t="s">
        <v>366</v>
      </c>
      <c r="B414" s="9">
        <v>330</v>
      </c>
      <c r="C414" s="9"/>
      <c r="D414" s="10">
        <v>89.25</v>
      </c>
    </row>
    <row r="415" ht="16.5">
      <c r="A415" s="4" t="s">
        <v>367</v>
      </c>
      <c r="B415" s="9">
        <v>500</v>
      </c>
      <c r="C415" s="9"/>
      <c r="D415" s="10">
        <v>176.40000000000001</v>
      </c>
    </row>
    <row r="416" ht="16.5">
      <c r="A416" s="4" t="s">
        <v>367</v>
      </c>
      <c r="B416" s="9">
        <v>330</v>
      </c>
      <c r="C416" s="9"/>
      <c r="D416" s="9">
        <v>147</v>
      </c>
    </row>
    <row r="417" ht="33">
      <c r="A417" s="4" t="s">
        <v>368</v>
      </c>
      <c r="B417" s="9">
        <v>1000</v>
      </c>
      <c r="C417" s="9"/>
      <c r="D417" s="10">
        <v>955.5</v>
      </c>
    </row>
    <row r="418" ht="16.5">
      <c r="A418" s="4" t="s">
        <v>369</v>
      </c>
      <c r="B418" s="9">
        <v>1000</v>
      </c>
      <c r="C418" s="9"/>
      <c r="D418" s="10">
        <v>808.5</v>
      </c>
    </row>
    <row r="419" ht="16.5">
      <c r="A419" s="4" t="s">
        <v>370</v>
      </c>
      <c r="B419" s="9">
        <v>1000</v>
      </c>
      <c r="C419" s="9"/>
      <c r="D419" s="10">
        <v>808.5</v>
      </c>
    </row>
    <row r="420" ht="16.5">
      <c r="A420" s="4" t="s">
        <v>371</v>
      </c>
      <c r="B420" s="9">
        <v>330</v>
      </c>
      <c r="C420" s="9"/>
      <c r="D420" s="10">
        <v>26.25</v>
      </c>
    </row>
    <row r="421" ht="16.5">
      <c r="A421" s="4" t="s">
        <v>371</v>
      </c>
      <c r="B421" s="9">
        <v>250</v>
      </c>
      <c r="C421" s="9"/>
      <c r="D421" s="10">
        <v>178.5</v>
      </c>
    </row>
    <row r="422" ht="16.5">
      <c r="A422" s="4" t="s">
        <v>372</v>
      </c>
      <c r="B422" s="9">
        <v>330</v>
      </c>
      <c r="C422" s="9"/>
      <c r="D422" s="10">
        <v>236.25</v>
      </c>
    </row>
    <row r="423" ht="16.5">
      <c r="A423" s="4" t="s">
        <v>372</v>
      </c>
      <c r="B423" s="9">
        <v>250</v>
      </c>
      <c r="C423" s="9"/>
      <c r="D423" s="10">
        <v>183.75</v>
      </c>
    </row>
    <row r="424" ht="16.5">
      <c r="A424" s="4" t="s">
        <v>373</v>
      </c>
      <c r="B424" s="9">
        <v>1000</v>
      </c>
      <c r="C424" s="9"/>
      <c r="D424" s="9">
        <v>1470</v>
      </c>
    </row>
    <row r="425" ht="16.5">
      <c r="A425" s="4"/>
      <c r="B425" s="3"/>
      <c r="C425" s="3"/>
      <c r="D425" s="9"/>
    </row>
    <row r="426" ht="23.25">
      <c r="A426" s="8" t="s">
        <v>374</v>
      </c>
      <c r="B426" s="3"/>
      <c r="C426" s="3"/>
      <c r="D426" s="9"/>
    </row>
    <row r="427" ht="16.5">
      <c r="A427" s="4" t="s">
        <v>375</v>
      </c>
      <c r="B427" s="9">
        <v>220</v>
      </c>
      <c r="C427" s="9"/>
      <c r="D427" s="10">
        <v>120.75</v>
      </c>
    </row>
    <row r="428" ht="16.5">
      <c r="A428" s="4" t="s">
        <v>376</v>
      </c>
      <c r="B428" s="9">
        <v>220</v>
      </c>
      <c r="C428" s="9"/>
      <c r="D428" s="10">
        <v>264.60000000000002</v>
      </c>
    </row>
    <row r="429" ht="16.5">
      <c r="A429" s="4" t="s">
        <v>377</v>
      </c>
      <c r="B429" s="9">
        <v>220</v>
      </c>
      <c r="C429" s="9"/>
      <c r="D429" s="9">
        <v>168</v>
      </c>
    </row>
    <row r="430" ht="16.5">
      <c r="A430" s="4"/>
      <c r="B430" s="3"/>
      <c r="C430" s="3"/>
      <c r="D430" s="3"/>
    </row>
    <row r="431" ht="16.5">
      <c r="A431" s="4"/>
      <c r="B431" s="3"/>
      <c r="C431" s="3"/>
      <c r="D431" s="3"/>
    </row>
    <row r="432" ht="16.5">
      <c r="A432" s="15" t="s">
        <v>378</v>
      </c>
      <c r="B432" s="3"/>
      <c r="C432" s="3"/>
      <c r="D432" s="3"/>
    </row>
    <row r="433" ht="16.5">
      <c r="A433" s="15" t="s">
        <v>379</v>
      </c>
      <c r="B433" s="3"/>
      <c r="C433" s="3"/>
      <c r="D433" s="3"/>
    </row>
    <row r="434" ht="16.5">
      <c r="A434" s="4"/>
      <c r="B434" s="3"/>
      <c r="C434" s="3"/>
      <c r="D434" s="3"/>
    </row>
    <row r="435" ht="16.5">
      <c r="A435" s="15" t="s">
        <v>380</v>
      </c>
      <c r="B435" s="3"/>
      <c r="C435" s="3"/>
      <c r="D435" s="3"/>
    </row>
    <row r="436" ht="16.5">
      <c r="A436" s="4"/>
      <c r="B436" s="3"/>
      <c r="C436" s="3"/>
      <c r="D436" s="3"/>
    </row>
    <row r="437" ht="16.5">
      <c r="A437" s="4"/>
      <c r="B437" s="3"/>
      <c r="C437" s="3"/>
      <c r="D437" s="3"/>
    </row>
    <row r="438" ht="16.5">
      <c r="A438" s="15" t="s">
        <v>381</v>
      </c>
      <c r="B438" s="3"/>
      <c r="C438" s="3"/>
      <c r="D438" s="3"/>
    </row>
    <row r="439" ht="16.5">
      <c r="A439" s="4"/>
      <c r="B439" s="3"/>
      <c r="C439" s="3"/>
      <c r="D439" s="3"/>
    </row>
    <row r="440" ht="16.5">
      <c r="A440" s="12" t="s">
        <v>382</v>
      </c>
      <c r="B440" s="3"/>
      <c r="C440" s="3"/>
      <c r="D440" s="3"/>
    </row>
    <row r="441" ht="16.5">
      <c r="A441" s="12" t="s">
        <v>383</v>
      </c>
      <c r="B441" s="3"/>
      <c r="C441" s="3"/>
      <c r="D441" s="3"/>
    </row>
    <row r="442" ht="16.5">
      <c r="A442" s="12" t="s">
        <v>384</v>
      </c>
      <c r="B442" s="3"/>
      <c r="C442" s="3"/>
      <c r="D442" s="3"/>
    </row>
    <row r="443" ht="16.5">
      <c r="A443" s="15" t="s">
        <v>385</v>
      </c>
      <c r="B443" s="3"/>
      <c r="C443" s="3"/>
      <c r="D443" s="3"/>
    </row>
    <row r="444" ht="16.5">
      <c r="A444" s="15" t="s">
        <v>386</v>
      </c>
      <c r="B444" s="3"/>
      <c r="C444" s="3"/>
      <c r="D444" s="3"/>
    </row>
    <row r="445" ht="16.5">
      <c r="A445" s="4"/>
      <c r="B445" s="3"/>
      <c r="C445" s="3"/>
      <c r="D445" s="3"/>
    </row>
    <row r="446" ht="16.5">
      <c r="A446" s="4"/>
      <c r="B446" s="3"/>
      <c r="C446" s="3"/>
      <c r="D446" s="3"/>
    </row>
    <row r="447" ht="16.5">
      <c r="A447" s="15" t="s">
        <v>387</v>
      </c>
      <c r="B447" s="3"/>
      <c r="C447" s="3"/>
      <c r="D447" s="3"/>
    </row>
    <row r="448" ht="16.5">
      <c r="A448" s="4"/>
      <c r="B448" s="3"/>
      <c r="C448" s="3"/>
      <c r="D448" s="3"/>
    </row>
    <row r="449" ht="16.5">
      <c r="A449" s="15" t="s">
        <v>388</v>
      </c>
      <c r="B449" s="3"/>
      <c r="C449" s="3"/>
      <c r="D449" s="3"/>
    </row>
    <row r="450" ht="16.5">
      <c r="A450" s="15" t="s">
        <v>389</v>
      </c>
      <c r="B450" s="3"/>
      <c r="C450" s="3"/>
      <c r="D450" s="3"/>
    </row>
    <row r="451" ht="16.5">
      <c r="A451" s="15" t="s">
        <v>390</v>
      </c>
      <c r="B451" s="3"/>
      <c r="C451" s="3"/>
      <c r="D451" s="2"/>
    </row>
    <row r="452" ht="16.5">
      <c r="A452" s="4"/>
      <c r="B452" s="3"/>
      <c r="C452" s="3"/>
      <c r="D452" s="2"/>
    </row>
    <row r="453" ht="16.5">
      <c r="A453" s="4"/>
      <c r="B453" s="3"/>
      <c r="C453" s="3"/>
      <c r="D453" s="2"/>
    </row>
  </sheetData>
  <mergeCells count="2">
    <mergeCell ref="B2:B3"/>
    <mergeCell ref="D2:D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11" zoomScale="100" workbookViewId="0">
      <selection activeCell="E430" activeCellId="0" sqref="E430"/>
    </sheetView>
  </sheetViews>
  <sheetFormatPr baseColWidth="10" defaultColWidth="10" defaultRowHeight="16.5"/>
  <cols>
    <col customWidth="1" min="1" max="1" width="62.832000000000001"/>
  </cols>
  <sheetData>
    <row r="2">
      <c r="A2" s="1"/>
      <c r="B2" s="2"/>
      <c r="C2" s="2"/>
      <c r="D2" s="2"/>
    </row>
    <row r="3">
      <c r="A3" s="3"/>
      <c r="B3" s="2"/>
      <c r="C3" s="2"/>
      <c r="D3" s="2"/>
    </row>
    <row r="4">
      <c r="A4" s="3"/>
      <c r="B4" s="2"/>
      <c r="C4" s="2"/>
      <c r="D4" s="2"/>
    </row>
    <row r="5">
      <c r="A5" s="3"/>
      <c r="B5" s="2"/>
      <c r="C5" s="2"/>
      <c r="D5" s="2"/>
    </row>
    <row r="6">
      <c r="A6" s="3"/>
      <c r="B6" s="2"/>
      <c r="C6" s="2"/>
      <c r="D6" s="2"/>
    </row>
    <row r="7">
      <c r="A7" s="3"/>
      <c r="B7" s="2"/>
      <c r="C7" s="2"/>
      <c r="D7" s="2"/>
    </row>
    <row r="8">
      <c r="A8" s="3"/>
      <c r="B8" s="2"/>
      <c r="C8" s="2"/>
      <c r="D8" s="2"/>
    </row>
    <row r="9">
      <c r="A9" s="3"/>
      <c r="B9" s="2"/>
      <c r="C9" s="2"/>
      <c r="D9" s="2"/>
    </row>
    <row r="10">
      <c r="A10" s="3"/>
      <c r="B10" s="2"/>
      <c r="C10" s="2"/>
      <c r="D10" s="2"/>
    </row>
    <row r="11">
      <c r="A11" s="4"/>
      <c r="B11" s="3"/>
      <c r="C11" s="3"/>
      <c r="D11" s="2"/>
    </row>
    <row r="12" ht="17">
      <c r="A12" s="4"/>
      <c r="B12" s="3"/>
      <c r="C12" s="3"/>
      <c r="D12" s="2"/>
    </row>
    <row r="13" ht="49.5">
      <c r="A13" s="5" t="s">
        <v>0</v>
      </c>
      <c r="B13" s="6" t="s">
        <v>1</v>
      </c>
      <c r="C13" s="6"/>
      <c r="D13" s="7" t="s">
        <v>2</v>
      </c>
    </row>
    <row r="14" ht="23.25">
      <c r="A14" s="8" t="s">
        <v>3</v>
      </c>
      <c r="B14" s="3"/>
      <c r="C14" s="3"/>
      <c r="D14" s="3"/>
    </row>
    <row r="15" ht="18.75">
      <c r="A15" s="4" t="s">
        <v>4</v>
      </c>
      <c r="B15" s="9">
        <v>250</v>
      </c>
      <c r="C15" s="9"/>
      <c r="D15" s="16">
        <v>120</v>
      </c>
      <c r="E15">
        <f>D15+D15*5%</f>
        <v>126</v>
      </c>
    </row>
    <row r="16" ht="33">
      <c r="A16" s="4" t="s">
        <v>5</v>
      </c>
      <c r="B16" s="9">
        <v>150</v>
      </c>
      <c r="C16" s="9"/>
      <c r="D16" s="16">
        <v>474</v>
      </c>
      <c r="E16">
        <f>D16+D16*5%</f>
        <v>497.69999999999999</v>
      </c>
    </row>
    <row r="17" ht="18.75">
      <c r="A17" s="4" t="s">
        <v>6</v>
      </c>
      <c r="B17" s="9" t="s">
        <v>7</v>
      </c>
      <c r="C17" s="9"/>
      <c r="D17" s="16">
        <v>84</v>
      </c>
      <c r="E17">
        <f>D17+D17*5%</f>
        <v>88.200000000000003</v>
      </c>
    </row>
    <row r="18" ht="18.75">
      <c r="A18" s="4" t="s">
        <v>8</v>
      </c>
      <c r="B18" s="9">
        <v>80</v>
      </c>
      <c r="C18" s="9"/>
      <c r="D18" s="16">
        <v>162</v>
      </c>
      <c r="E18">
        <f>D18+D18*5%</f>
        <v>170.09999999999999</v>
      </c>
    </row>
    <row r="19" ht="18.75">
      <c r="A19" s="4" t="s">
        <v>9</v>
      </c>
      <c r="B19" s="9">
        <v>110</v>
      </c>
      <c r="C19" s="9"/>
      <c r="D19" s="16">
        <v>378</v>
      </c>
      <c r="E19">
        <f>D19+D19*5%</f>
        <v>396.89999999999998</v>
      </c>
    </row>
    <row r="20" ht="18.75">
      <c r="A20" s="4" t="s">
        <v>10</v>
      </c>
      <c r="B20" s="9">
        <v>110</v>
      </c>
      <c r="C20" s="9"/>
      <c r="D20" s="16">
        <v>300</v>
      </c>
      <c r="E20">
        <f>D20+D20*5%</f>
        <v>315</v>
      </c>
    </row>
    <row r="21" ht="18.75">
      <c r="A21" s="4" t="s">
        <v>11</v>
      </c>
      <c r="B21" s="9">
        <v>150</v>
      </c>
      <c r="C21" s="9"/>
      <c r="D21" s="16">
        <v>390</v>
      </c>
      <c r="E21">
        <f>D21+D21*5%</f>
        <v>409.5</v>
      </c>
    </row>
    <row r="22" ht="18.75">
      <c r="A22" s="4" t="s">
        <v>12</v>
      </c>
      <c r="B22" s="9">
        <v>110</v>
      </c>
      <c r="C22" s="9"/>
      <c r="D22" s="16">
        <v>360</v>
      </c>
      <c r="E22">
        <f>D22+D22*5%</f>
        <v>378</v>
      </c>
    </row>
    <row r="23" ht="18.75">
      <c r="A23" s="4" t="s">
        <v>13</v>
      </c>
      <c r="B23" s="9">
        <v>120</v>
      </c>
      <c r="C23" s="9"/>
      <c r="D23" s="16">
        <v>420</v>
      </c>
      <c r="E23">
        <f>D23+D23*5%</f>
        <v>441</v>
      </c>
    </row>
    <row r="24" ht="18.75">
      <c r="A24" s="4" t="s">
        <v>14</v>
      </c>
      <c r="B24" s="9">
        <v>90</v>
      </c>
      <c r="C24" s="9"/>
      <c r="D24" s="16">
        <v>228</v>
      </c>
      <c r="E24">
        <f>D24+D24*5%</f>
        <v>239.40000000000001</v>
      </c>
    </row>
    <row r="25" ht="18.75">
      <c r="A25" s="4" t="s">
        <v>15</v>
      </c>
      <c r="B25" s="9">
        <v>150</v>
      </c>
      <c r="C25" s="9"/>
      <c r="D25" s="16">
        <v>336</v>
      </c>
      <c r="E25">
        <f>D25+D25*5%</f>
        <v>352.80000000000001</v>
      </c>
    </row>
    <row r="26" ht="18.75">
      <c r="A26" s="4" t="s">
        <v>16</v>
      </c>
      <c r="B26" s="9">
        <v>50</v>
      </c>
      <c r="C26" s="9"/>
      <c r="D26" s="16">
        <v>96</v>
      </c>
      <c r="E26">
        <f>D26+D26*5%</f>
        <v>100.8</v>
      </c>
    </row>
    <row r="27" ht="18.75">
      <c r="A27" s="4" t="s">
        <v>17</v>
      </c>
      <c r="B27" s="9">
        <v>75</v>
      </c>
      <c r="C27" s="9"/>
      <c r="D27" s="16">
        <v>156</v>
      </c>
      <c r="E27">
        <f>D27+D27*5%</f>
        <v>163.80000000000001</v>
      </c>
    </row>
    <row r="28" ht="18.75">
      <c r="A28" s="4" t="s">
        <v>18</v>
      </c>
      <c r="B28" s="9">
        <v>75</v>
      </c>
      <c r="C28" s="9"/>
      <c r="D28" s="16">
        <v>192</v>
      </c>
      <c r="E28">
        <f>D28+D28*5%</f>
        <v>201.59999999999999</v>
      </c>
    </row>
    <row r="29" ht="23.25">
      <c r="A29" s="8" t="s">
        <v>19</v>
      </c>
      <c r="B29" s="3"/>
      <c r="C29" s="3"/>
      <c r="D29" s="3"/>
      <c r="E29">
        <f>D29+D29*5%</f>
        <v>0</v>
      </c>
    </row>
    <row r="30" ht="18.75">
      <c r="A30" s="4" t="s">
        <v>20</v>
      </c>
      <c r="B30" s="9">
        <v>30</v>
      </c>
      <c r="C30" s="9"/>
      <c r="D30" s="16">
        <v>192</v>
      </c>
      <c r="E30">
        <f>D30+D30*5%</f>
        <v>201.59999999999999</v>
      </c>
    </row>
    <row r="31" ht="18.75">
      <c r="A31" s="4" t="s">
        <v>21</v>
      </c>
      <c r="B31" s="9">
        <v>25</v>
      </c>
      <c r="C31" s="9"/>
      <c r="D31" s="16">
        <v>270</v>
      </c>
      <c r="E31">
        <f>D31+D31*5%</f>
        <v>283.5</v>
      </c>
    </row>
    <row r="32" ht="18.75">
      <c r="A32" s="4" t="s">
        <v>22</v>
      </c>
      <c r="B32" s="9">
        <v>30</v>
      </c>
      <c r="C32" s="9"/>
      <c r="D32" s="16">
        <v>204</v>
      </c>
      <c r="E32">
        <f>D32+D32*5%</f>
        <v>214.19999999999999</v>
      </c>
    </row>
    <row r="33" ht="18.75">
      <c r="A33" s="4" t="s">
        <v>23</v>
      </c>
      <c r="B33" s="9">
        <v>35</v>
      </c>
      <c r="C33" s="9"/>
      <c r="D33" s="16">
        <v>240</v>
      </c>
      <c r="E33">
        <f>D33+D33*5%</f>
        <v>252</v>
      </c>
    </row>
    <row r="34" ht="18.75">
      <c r="A34" s="4" t="s">
        <v>24</v>
      </c>
      <c r="B34" s="9">
        <v>25</v>
      </c>
      <c r="C34" s="9"/>
      <c r="D34" s="16">
        <v>240</v>
      </c>
      <c r="E34">
        <f>D34+D34*5%</f>
        <v>252</v>
      </c>
    </row>
    <row r="35" ht="18.75">
      <c r="A35" s="4" t="s">
        <v>25</v>
      </c>
      <c r="B35" s="9">
        <v>25</v>
      </c>
      <c r="C35" s="9"/>
      <c r="D35" s="16">
        <v>300</v>
      </c>
      <c r="E35">
        <f>D35+D35*5%</f>
        <v>315</v>
      </c>
    </row>
    <row r="36" ht="18.75">
      <c r="A36" s="4" t="s">
        <v>26</v>
      </c>
      <c r="B36" s="9">
        <v>35</v>
      </c>
      <c r="C36" s="9"/>
      <c r="D36" s="16">
        <v>336</v>
      </c>
      <c r="E36">
        <f>D36+D36*5%</f>
        <v>352.80000000000001</v>
      </c>
    </row>
    <row r="37" ht="18.75">
      <c r="A37" s="4" t="s">
        <v>27</v>
      </c>
      <c r="B37" s="9">
        <v>25</v>
      </c>
      <c r="C37" s="9"/>
      <c r="D37" s="16">
        <v>306</v>
      </c>
      <c r="E37">
        <f>D37+D37*5%</f>
        <v>321.30000000000001</v>
      </c>
    </row>
    <row r="38" ht="18.75">
      <c r="A38" s="4" t="s">
        <v>28</v>
      </c>
      <c r="B38" s="9">
        <v>30</v>
      </c>
      <c r="C38" s="9"/>
      <c r="D38" s="16">
        <v>498</v>
      </c>
      <c r="E38">
        <f>D38+D38*5%</f>
        <v>522.89999999999998</v>
      </c>
    </row>
    <row r="39" ht="18.75">
      <c r="A39" s="4" t="s">
        <v>29</v>
      </c>
      <c r="B39" s="9">
        <v>25</v>
      </c>
      <c r="C39" s="9"/>
      <c r="D39" s="16">
        <v>144</v>
      </c>
      <c r="E39">
        <f>D39+D39*5%</f>
        <v>151.19999999999999</v>
      </c>
    </row>
    <row r="40" ht="18.75">
      <c r="A40" s="4" t="s">
        <v>30</v>
      </c>
      <c r="B40" s="9">
        <v>30</v>
      </c>
      <c r="C40" s="9"/>
      <c r="D40" s="16">
        <v>300</v>
      </c>
      <c r="E40">
        <f>D40+D40*5%</f>
        <v>315</v>
      </c>
    </row>
    <row r="41" ht="18.75">
      <c r="A41" s="4" t="s">
        <v>31</v>
      </c>
      <c r="B41" s="9">
        <v>30</v>
      </c>
      <c r="C41" s="9"/>
      <c r="D41" s="16">
        <v>348</v>
      </c>
      <c r="E41">
        <f>D41+D41*5%</f>
        <v>365.39999999999998</v>
      </c>
    </row>
    <row r="42" ht="18.75">
      <c r="A42" s="4" t="s">
        <v>32</v>
      </c>
      <c r="B42" s="9">
        <v>20</v>
      </c>
      <c r="C42" s="9"/>
      <c r="D42" s="16">
        <v>192</v>
      </c>
      <c r="E42">
        <f>D42+D42*5%</f>
        <v>201.59999999999999</v>
      </c>
    </row>
    <row r="43" ht="18.75">
      <c r="A43" s="4" t="s">
        <v>33</v>
      </c>
      <c r="B43" s="9">
        <v>20</v>
      </c>
      <c r="C43" s="9"/>
      <c r="D43" s="16">
        <v>324</v>
      </c>
      <c r="E43">
        <f>D43+D43*5%</f>
        <v>340.19999999999999</v>
      </c>
    </row>
    <row r="44" ht="18.75">
      <c r="A44" s="4" t="s">
        <v>34</v>
      </c>
      <c r="B44" s="9">
        <v>20</v>
      </c>
      <c r="C44" s="9"/>
      <c r="D44" s="16">
        <v>302</v>
      </c>
      <c r="E44">
        <f>D44+D44*5%</f>
        <v>317.10000000000002</v>
      </c>
    </row>
    <row r="45" ht="18.75">
      <c r="A45" s="4" t="s">
        <v>35</v>
      </c>
      <c r="B45" s="9">
        <v>30</v>
      </c>
      <c r="C45" s="9"/>
      <c r="D45" s="16">
        <v>276</v>
      </c>
      <c r="E45">
        <f>D45+D45*5%</f>
        <v>289.80000000000001</v>
      </c>
    </row>
    <row r="46" ht="18.75">
      <c r="A46" s="4" t="s">
        <v>36</v>
      </c>
      <c r="B46" s="9">
        <v>25</v>
      </c>
      <c r="C46" s="9"/>
      <c r="D46" s="16">
        <v>372</v>
      </c>
      <c r="E46">
        <f>D46+D46*5%</f>
        <v>390.60000000000002</v>
      </c>
    </row>
    <row r="47" ht="18.75">
      <c r="A47" s="4" t="s">
        <v>37</v>
      </c>
      <c r="B47" s="9">
        <v>30</v>
      </c>
      <c r="C47" s="9"/>
      <c r="D47" s="16">
        <v>420</v>
      </c>
      <c r="E47">
        <f>D47+D47*5%</f>
        <v>441</v>
      </c>
    </row>
    <row r="48" ht="18.75">
      <c r="A48" s="4" t="s">
        <v>38</v>
      </c>
      <c r="B48" s="9">
        <v>20</v>
      </c>
      <c r="C48" s="9"/>
      <c r="D48" s="16">
        <v>360</v>
      </c>
      <c r="E48">
        <f>D48+D48*5%</f>
        <v>378</v>
      </c>
    </row>
    <row r="49" ht="18.75">
      <c r="A49" s="4" t="s">
        <v>39</v>
      </c>
      <c r="B49" s="9">
        <v>30</v>
      </c>
      <c r="C49" s="9"/>
      <c r="D49" s="16">
        <v>426</v>
      </c>
      <c r="E49">
        <f>D49+D49*5%</f>
        <v>447.30000000000001</v>
      </c>
    </row>
    <row r="50" ht="18.75">
      <c r="A50" s="4" t="s">
        <v>40</v>
      </c>
      <c r="B50" s="9">
        <v>40</v>
      </c>
      <c r="C50" s="9"/>
      <c r="D50" s="16">
        <v>324</v>
      </c>
      <c r="E50">
        <f>D50+D50*5%</f>
        <v>340.19999999999999</v>
      </c>
    </row>
    <row r="51" ht="18.75">
      <c r="A51" s="4" t="s">
        <v>41</v>
      </c>
      <c r="B51" s="9">
        <v>30</v>
      </c>
      <c r="C51" s="9"/>
      <c r="D51" s="16">
        <v>204</v>
      </c>
      <c r="E51">
        <f>D51+D51*5%</f>
        <v>214.19999999999999</v>
      </c>
    </row>
    <row r="52" ht="18.75">
      <c r="A52" s="4" t="s">
        <v>42</v>
      </c>
      <c r="B52" s="9">
        <v>25</v>
      </c>
      <c r="C52" s="9"/>
      <c r="D52" s="16">
        <v>156</v>
      </c>
      <c r="E52">
        <f>D52+D52*5%</f>
        <v>163.80000000000001</v>
      </c>
    </row>
    <row r="53" ht="18.75">
      <c r="A53" s="4" t="s">
        <v>43</v>
      </c>
      <c r="B53" s="9">
        <v>25</v>
      </c>
      <c r="C53" s="9"/>
      <c r="D53" s="16">
        <v>156</v>
      </c>
      <c r="E53">
        <f>D53+D53*5%</f>
        <v>163.80000000000001</v>
      </c>
    </row>
    <row r="54" ht="18.75">
      <c r="A54" s="4" t="s">
        <v>44</v>
      </c>
      <c r="B54" s="9">
        <v>25</v>
      </c>
      <c r="C54" s="9"/>
      <c r="D54" s="16">
        <v>306</v>
      </c>
      <c r="E54">
        <f>D54+D54*5%</f>
        <v>321.30000000000001</v>
      </c>
    </row>
    <row r="55" ht="18.75">
      <c r="A55" s="4" t="s">
        <v>45</v>
      </c>
      <c r="B55" s="9">
        <v>25</v>
      </c>
      <c r="C55" s="9"/>
      <c r="D55" s="16">
        <v>252</v>
      </c>
      <c r="E55">
        <f>D55+D55*5%</f>
        <v>264.60000000000002</v>
      </c>
    </row>
    <row r="56" ht="18.75">
      <c r="A56" s="4" t="s">
        <v>46</v>
      </c>
      <c r="B56" s="9">
        <v>25</v>
      </c>
      <c r="C56" s="9"/>
      <c r="D56" s="16">
        <v>144</v>
      </c>
      <c r="E56">
        <f>D56+D56*5%</f>
        <v>151.19999999999999</v>
      </c>
    </row>
    <row r="57" ht="18.75">
      <c r="A57" s="4" t="s">
        <v>47</v>
      </c>
      <c r="B57" s="9">
        <v>100</v>
      </c>
      <c r="C57" s="9"/>
      <c r="D57" s="16">
        <v>288</v>
      </c>
      <c r="E57">
        <f>D57+D57*5%</f>
        <v>302.39999999999998</v>
      </c>
    </row>
    <row r="58" ht="18.75">
      <c r="A58" s="4" t="s">
        <v>48</v>
      </c>
      <c r="B58" s="9">
        <v>25</v>
      </c>
      <c r="C58" s="9"/>
      <c r="D58" s="16">
        <v>270</v>
      </c>
      <c r="E58">
        <f>D58+D58*5%</f>
        <v>283.5</v>
      </c>
    </row>
    <row r="59" ht="18.75">
      <c r="A59" s="4" t="s">
        <v>49</v>
      </c>
      <c r="B59" s="9">
        <v>25</v>
      </c>
      <c r="C59" s="9"/>
      <c r="D59" s="16">
        <v>138</v>
      </c>
      <c r="E59">
        <f>D59+D59*5%</f>
        <v>144.90000000000001</v>
      </c>
    </row>
    <row r="60" ht="18.75">
      <c r="A60" s="4" t="s">
        <v>50</v>
      </c>
      <c r="B60" s="9">
        <v>40</v>
      </c>
      <c r="C60" s="9"/>
      <c r="D60" s="16">
        <v>204</v>
      </c>
      <c r="E60">
        <f>D60+D60*5%</f>
        <v>214.19999999999999</v>
      </c>
    </row>
    <row r="61" ht="18.75">
      <c r="A61" s="4" t="s">
        <v>51</v>
      </c>
      <c r="B61" s="9">
        <v>35</v>
      </c>
      <c r="C61" s="9"/>
      <c r="D61" s="16">
        <v>288</v>
      </c>
      <c r="E61">
        <f>D61+D61*5%</f>
        <v>302.39999999999998</v>
      </c>
    </row>
    <row r="62" ht="18.75">
      <c r="A62" s="4" t="s">
        <v>52</v>
      </c>
      <c r="B62" s="9">
        <v>30</v>
      </c>
      <c r="C62" s="9"/>
      <c r="D62" s="16">
        <v>264</v>
      </c>
      <c r="E62">
        <f>D62+D62*5%</f>
        <v>277.19999999999999</v>
      </c>
    </row>
    <row r="63" ht="18.75">
      <c r="A63" s="4" t="s">
        <v>53</v>
      </c>
      <c r="B63" s="9">
        <v>30</v>
      </c>
      <c r="C63" s="9"/>
      <c r="D63" s="16">
        <v>204</v>
      </c>
      <c r="E63">
        <f>D63+D63*5%</f>
        <v>214.19999999999999</v>
      </c>
    </row>
    <row r="64" ht="18.75">
      <c r="A64" s="4" t="s">
        <v>54</v>
      </c>
      <c r="B64" s="9">
        <v>25</v>
      </c>
      <c r="C64" s="9"/>
      <c r="D64" s="16">
        <v>336</v>
      </c>
      <c r="E64">
        <f>D64+D64*5%</f>
        <v>352.80000000000001</v>
      </c>
    </row>
    <row r="65" ht="18.75">
      <c r="A65" s="4" t="s">
        <v>55</v>
      </c>
      <c r="B65" s="9">
        <v>20</v>
      </c>
      <c r="C65" s="9"/>
      <c r="D65" s="16">
        <v>144</v>
      </c>
      <c r="E65">
        <f>D65+D65*5%</f>
        <v>151.19999999999999</v>
      </c>
    </row>
    <row r="66" ht="33">
      <c r="A66" s="4" t="s">
        <v>56</v>
      </c>
      <c r="B66" s="9">
        <v>30</v>
      </c>
      <c r="C66" s="9"/>
      <c r="D66" s="16">
        <v>222</v>
      </c>
      <c r="E66">
        <f>D66+D66*5%</f>
        <v>233.09999999999999</v>
      </c>
    </row>
    <row r="67" ht="33">
      <c r="A67" s="4" t="s">
        <v>57</v>
      </c>
      <c r="B67" s="9">
        <v>30</v>
      </c>
      <c r="C67" s="9"/>
      <c r="D67" s="16">
        <v>276</v>
      </c>
      <c r="E67">
        <f>D67+D67*5%</f>
        <v>289.80000000000001</v>
      </c>
    </row>
    <row r="68" ht="18.75">
      <c r="A68" s="4" t="s">
        <v>58</v>
      </c>
      <c r="B68" s="9">
        <v>25</v>
      </c>
      <c r="C68" s="9"/>
      <c r="D68" s="16">
        <v>288</v>
      </c>
      <c r="E68">
        <f>D68+D68*5%</f>
        <v>302.39999999999998</v>
      </c>
    </row>
    <row r="69" ht="18.75">
      <c r="A69" s="4" t="s">
        <v>59</v>
      </c>
      <c r="B69" s="9">
        <v>25</v>
      </c>
      <c r="C69" s="9"/>
      <c r="D69" s="16">
        <v>252</v>
      </c>
      <c r="E69">
        <f>D69+D69*5%</f>
        <v>264.60000000000002</v>
      </c>
    </row>
    <row r="70" ht="18.75">
      <c r="A70" s="4" t="s">
        <v>60</v>
      </c>
      <c r="B70" s="9">
        <v>25</v>
      </c>
      <c r="C70" s="9"/>
      <c r="D70" s="16">
        <v>252</v>
      </c>
      <c r="E70">
        <f>D70+D70*5%</f>
        <v>264.60000000000002</v>
      </c>
    </row>
    <row r="71" ht="18.75">
      <c r="A71" s="4" t="s">
        <v>61</v>
      </c>
      <c r="B71" s="9">
        <v>30</v>
      </c>
      <c r="C71" s="9"/>
      <c r="D71" s="16">
        <v>276</v>
      </c>
      <c r="E71">
        <f>D71+D71*5%</f>
        <v>289.80000000000001</v>
      </c>
    </row>
    <row r="72" ht="18.75">
      <c r="A72" s="4" t="s">
        <v>62</v>
      </c>
      <c r="B72" s="9">
        <v>30</v>
      </c>
      <c r="C72" s="9"/>
      <c r="D72" s="16">
        <v>276</v>
      </c>
      <c r="E72">
        <f>D72+D72*5%</f>
        <v>289.80000000000001</v>
      </c>
    </row>
    <row r="73" ht="18.75">
      <c r="A73" s="4" t="s">
        <v>63</v>
      </c>
      <c r="B73" s="9">
        <v>25</v>
      </c>
      <c r="C73" s="9"/>
      <c r="D73" s="16">
        <v>234</v>
      </c>
      <c r="E73">
        <f>D73+D73*5%</f>
        <v>245.69999999999999</v>
      </c>
    </row>
    <row r="74" ht="16.5">
      <c r="A74" s="4"/>
      <c r="B74" s="3"/>
      <c r="C74" s="3"/>
      <c r="D74" s="3"/>
      <c r="E74">
        <f>D74+D74*5%</f>
        <v>0</v>
      </c>
    </row>
    <row r="75" ht="23.25">
      <c r="A75" s="8" t="s">
        <v>64</v>
      </c>
      <c r="B75" s="3"/>
      <c r="C75" s="3"/>
      <c r="D75" s="3"/>
      <c r="E75">
        <f>D75+D75*5%</f>
        <v>0</v>
      </c>
    </row>
    <row r="76" ht="18.75">
      <c r="A76" s="4" t="s">
        <v>65</v>
      </c>
      <c r="B76" s="9">
        <v>37</v>
      </c>
      <c r="C76" s="9"/>
      <c r="D76" s="16">
        <v>204</v>
      </c>
      <c r="E76">
        <f>D76+D76*5%</f>
        <v>214.19999999999999</v>
      </c>
    </row>
    <row r="77" ht="18.75">
      <c r="A77" s="4" t="s">
        <v>66</v>
      </c>
      <c r="B77" s="9">
        <v>30</v>
      </c>
      <c r="C77" s="9"/>
      <c r="D77" s="16">
        <v>288</v>
      </c>
      <c r="E77">
        <f>D77+D77*5%</f>
        <v>302.39999999999998</v>
      </c>
    </row>
    <row r="78" ht="18.75">
      <c r="A78" s="4" t="s">
        <v>67</v>
      </c>
      <c r="B78" s="9">
        <v>30</v>
      </c>
      <c r="C78" s="9"/>
      <c r="D78" s="16">
        <v>216</v>
      </c>
      <c r="E78">
        <f>D78+D78*5%</f>
        <v>226.80000000000001</v>
      </c>
    </row>
    <row r="79" ht="18.75">
      <c r="A79" s="4" t="s">
        <v>68</v>
      </c>
      <c r="B79" s="9">
        <v>30</v>
      </c>
      <c r="C79" s="9"/>
      <c r="D79" s="16">
        <v>342</v>
      </c>
      <c r="E79">
        <f>D79+D79*5%</f>
        <v>359.10000000000002</v>
      </c>
    </row>
    <row r="80" ht="18.75">
      <c r="A80" s="4" t="s">
        <v>69</v>
      </c>
      <c r="B80" s="9">
        <v>37</v>
      </c>
      <c r="C80" s="9"/>
      <c r="D80" s="16">
        <v>300</v>
      </c>
      <c r="E80">
        <f>D80+D80*5%</f>
        <v>315</v>
      </c>
    </row>
    <row r="81" ht="18.75">
      <c r="A81" s="4" t="s">
        <v>70</v>
      </c>
      <c r="B81" s="9">
        <v>37</v>
      </c>
      <c r="C81" s="9"/>
      <c r="D81" s="16">
        <v>234</v>
      </c>
      <c r="E81">
        <f>D81+D81*5%</f>
        <v>245.69999999999999</v>
      </c>
    </row>
    <row r="82" ht="18.75">
      <c r="A82" s="4" t="s">
        <v>71</v>
      </c>
      <c r="B82" s="9">
        <v>37</v>
      </c>
      <c r="C82" s="9"/>
      <c r="D82" s="16">
        <v>252</v>
      </c>
      <c r="E82">
        <f>D82+D82*5%</f>
        <v>264.60000000000002</v>
      </c>
    </row>
    <row r="83" ht="16.5">
      <c r="A83" s="4"/>
      <c r="B83" s="3"/>
      <c r="C83" s="3"/>
      <c r="D83" s="3"/>
      <c r="E83">
        <f>D83+D83*5%</f>
        <v>0</v>
      </c>
    </row>
    <row r="84" ht="23.25">
      <c r="A84" s="8" t="s">
        <v>72</v>
      </c>
      <c r="B84" s="3"/>
      <c r="C84" s="3"/>
      <c r="D84" s="3"/>
      <c r="E84">
        <f>D84+D84*5%</f>
        <v>0</v>
      </c>
    </row>
    <row r="85" ht="18.75">
      <c r="A85" s="4" t="s">
        <v>73</v>
      </c>
      <c r="B85" s="9">
        <v>50</v>
      </c>
      <c r="C85" s="9"/>
      <c r="D85" s="16">
        <v>300</v>
      </c>
      <c r="E85">
        <f>D85+D85*5%</f>
        <v>315</v>
      </c>
    </row>
    <row r="86" ht="18.75">
      <c r="A86" s="4" t="s">
        <v>74</v>
      </c>
      <c r="B86" s="9">
        <v>50</v>
      </c>
      <c r="C86" s="9"/>
      <c r="D86" s="16">
        <v>354</v>
      </c>
      <c r="E86">
        <f>D86+D86*5%</f>
        <v>371.69999999999999</v>
      </c>
    </row>
    <row r="87" ht="18.75">
      <c r="A87" s="4" t="s">
        <v>75</v>
      </c>
      <c r="B87" s="9">
        <v>50</v>
      </c>
      <c r="C87" s="9"/>
      <c r="D87" s="16">
        <v>372</v>
      </c>
      <c r="E87">
        <f>D87+D87*5%</f>
        <v>390.60000000000002</v>
      </c>
    </row>
    <row r="88" ht="18.75">
      <c r="A88" s="4" t="s">
        <v>76</v>
      </c>
      <c r="B88" s="9">
        <v>50</v>
      </c>
      <c r="C88" s="9"/>
      <c r="D88" s="16">
        <v>276</v>
      </c>
      <c r="E88">
        <f>D88+D88*5%</f>
        <v>289.80000000000001</v>
      </c>
    </row>
    <row r="89" ht="18.75">
      <c r="A89" s="4" t="s">
        <v>77</v>
      </c>
      <c r="B89" s="9">
        <v>50</v>
      </c>
      <c r="C89" s="9"/>
      <c r="D89" s="16">
        <v>324</v>
      </c>
      <c r="E89">
        <f>D89+D89*5%</f>
        <v>340.19999999999999</v>
      </c>
    </row>
    <row r="90" ht="18.75">
      <c r="A90" s="4" t="s">
        <v>78</v>
      </c>
      <c r="B90" s="9">
        <v>50</v>
      </c>
      <c r="C90" s="9"/>
      <c r="D90" s="16">
        <v>264</v>
      </c>
      <c r="E90">
        <f>D90+D90*5%</f>
        <v>277.19999999999999</v>
      </c>
    </row>
    <row r="91" ht="16.5">
      <c r="A91" s="4"/>
      <c r="B91" s="3"/>
      <c r="C91" s="3"/>
      <c r="D91" s="3"/>
      <c r="E91">
        <f>D91+D91*5%</f>
        <v>0</v>
      </c>
    </row>
    <row r="92" ht="46.5">
      <c r="A92" s="8" t="s">
        <v>79</v>
      </c>
      <c r="B92" s="3"/>
      <c r="C92" s="3"/>
      <c r="D92" s="3"/>
      <c r="E92">
        <f>D92+D92*5%</f>
        <v>0</v>
      </c>
    </row>
    <row r="93" ht="18.75">
      <c r="A93" s="4" t="s">
        <v>80</v>
      </c>
      <c r="B93" s="9">
        <v>35</v>
      </c>
      <c r="C93" s="9"/>
      <c r="D93" s="16">
        <v>186</v>
      </c>
      <c r="E93">
        <f>D93+D93*5%</f>
        <v>195.30000000000001</v>
      </c>
    </row>
    <row r="94" ht="18.75">
      <c r="A94" s="4" t="s">
        <v>81</v>
      </c>
      <c r="B94" s="9">
        <v>35</v>
      </c>
      <c r="C94" s="9"/>
      <c r="D94" s="16">
        <v>234</v>
      </c>
      <c r="E94">
        <f>D94+D94*5%</f>
        <v>245.69999999999999</v>
      </c>
    </row>
    <row r="95" ht="18.75">
      <c r="A95" s="4" t="s">
        <v>82</v>
      </c>
      <c r="B95" s="9">
        <v>35</v>
      </c>
      <c r="C95" s="9"/>
      <c r="D95" s="16">
        <v>186</v>
      </c>
      <c r="E95">
        <f>D95+D95*5%</f>
        <v>195.30000000000001</v>
      </c>
    </row>
    <row r="96" ht="18.75">
      <c r="A96" s="4" t="s">
        <v>83</v>
      </c>
      <c r="B96" s="9">
        <v>35</v>
      </c>
      <c r="C96" s="9"/>
      <c r="D96" s="16">
        <v>168</v>
      </c>
      <c r="E96">
        <f>D96+D96*5%</f>
        <v>176.40000000000001</v>
      </c>
    </row>
    <row r="97" ht="18.75">
      <c r="A97" s="4" t="s">
        <v>84</v>
      </c>
      <c r="B97" s="9">
        <v>35</v>
      </c>
      <c r="C97" s="9"/>
      <c r="D97" s="16">
        <v>168</v>
      </c>
      <c r="E97">
        <f>D97+D97*5%</f>
        <v>176.40000000000001</v>
      </c>
    </row>
    <row r="98" ht="16.5">
      <c r="A98" s="4"/>
      <c r="B98" s="3"/>
      <c r="C98" s="3"/>
      <c r="D98" s="3"/>
      <c r="E98">
        <f>D98+D98*5%</f>
        <v>0</v>
      </c>
    </row>
    <row r="99" ht="23.25">
      <c r="A99" s="8" t="s">
        <v>85</v>
      </c>
      <c r="B99" s="3"/>
      <c r="C99" s="3"/>
      <c r="D99" s="3"/>
      <c r="E99">
        <f>D99+D99*5%</f>
        <v>0</v>
      </c>
    </row>
    <row r="100" ht="18.75">
      <c r="A100" s="4" t="s">
        <v>86</v>
      </c>
      <c r="B100" s="9">
        <v>25</v>
      </c>
      <c r="C100" s="9"/>
      <c r="D100" s="16">
        <v>186</v>
      </c>
      <c r="E100">
        <f>D100+D100*5%</f>
        <v>195.30000000000001</v>
      </c>
    </row>
    <row r="101" ht="18.75">
      <c r="A101" s="4" t="s">
        <v>87</v>
      </c>
      <c r="B101" s="9">
        <v>25</v>
      </c>
      <c r="C101" s="9"/>
      <c r="D101" s="16">
        <v>186</v>
      </c>
      <c r="E101">
        <f>D101+D101*5%</f>
        <v>195.30000000000001</v>
      </c>
    </row>
    <row r="102" ht="18.75">
      <c r="A102" s="4" t="s">
        <v>88</v>
      </c>
      <c r="B102" s="9">
        <v>25</v>
      </c>
      <c r="C102" s="9"/>
      <c r="D102" s="16">
        <v>168</v>
      </c>
      <c r="E102">
        <f>D102+D102*5%</f>
        <v>176.40000000000001</v>
      </c>
    </row>
    <row r="103" ht="18.75">
      <c r="A103" s="4" t="s">
        <v>89</v>
      </c>
      <c r="B103" s="9">
        <v>25</v>
      </c>
      <c r="C103" s="9"/>
      <c r="D103" s="16">
        <v>168</v>
      </c>
      <c r="E103">
        <f>D103+D103*5%</f>
        <v>176.40000000000001</v>
      </c>
    </row>
    <row r="104" ht="16.5">
      <c r="A104" s="4"/>
      <c r="B104" s="3"/>
      <c r="C104" s="3"/>
      <c r="D104" s="3"/>
      <c r="E104">
        <f>D104+D104*5%</f>
        <v>0</v>
      </c>
    </row>
    <row r="105" ht="23.25">
      <c r="A105" s="8" t="s">
        <v>90</v>
      </c>
      <c r="B105" s="3"/>
      <c r="C105" s="3"/>
      <c r="D105" s="3"/>
      <c r="E105">
        <f>D105+D105*5%</f>
        <v>0</v>
      </c>
    </row>
    <row r="106" ht="18.75">
      <c r="A106" s="4" t="s">
        <v>91</v>
      </c>
      <c r="B106" s="9">
        <v>30</v>
      </c>
      <c r="C106" s="9"/>
      <c r="D106" s="16">
        <v>264</v>
      </c>
      <c r="E106">
        <f>D106+D106*5%</f>
        <v>277.19999999999999</v>
      </c>
    </row>
    <row r="107" ht="18.75">
      <c r="A107" s="4" t="s">
        <v>92</v>
      </c>
      <c r="B107" s="9">
        <v>30</v>
      </c>
      <c r="C107" s="9"/>
      <c r="D107" s="16">
        <v>264</v>
      </c>
      <c r="E107">
        <f>D107+D107*5%</f>
        <v>277.19999999999999</v>
      </c>
    </row>
    <row r="108" ht="18.75">
      <c r="A108" s="4" t="s">
        <v>93</v>
      </c>
      <c r="B108" s="9">
        <v>35</v>
      </c>
      <c r="C108" s="9"/>
      <c r="D108" s="16">
        <v>420</v>
      </c>
      <c r="E108">
        <f>D108+D108*5%</f>
        <v>441</v>
      </c>
    </row>
    <row r="109" ht="18.75">
      <c r="A109" s="4" t="s">
        <v>94</v>
      </c>
      <c r="B109" s="9">
        <v>35</v>
      </c>
      <c r="C109" s="9"/>
      <c r="D109" s="16">
        <v>324</v>
      </c>
      <c r="E109">
        <f>D109+D109*5%</f>
        <v>340.19999999999999</v>
      </c>
    </row>
    <row r="110" ht="18.75">
      <c r="A110" s="4" t="s">
        <v>95</v>
      </c>
      <c r="B110" s="9">
        <v>35</v>
      </c>
      <c r="C110" s="9"/>
      <c r="D110" s="16">
        <v>432</v>
      </c>
      <c r="E110">
        <f>D110+D110*5%</f>
        <v>453.60000000000002</v>
      </c>
    </row>
    <row r="111" ht="18.75">
      <c r="A111" s="4" t="s">
        <v>96</v>
      </c>
      <c r="B111" s="9">
        <v>35</v>
      </c>
      <c r="C111" s="9"/>
      <c r="D111" s="16">
        <v>420</v>
      </c>
      <c r="E111">
        <f>D111+D111*5%</f>
        <v>441</v>
      </c>
    </row>
    <row r="112" ht="18.75">
      <c r="A112" s="4" t="s">
        <v>97</v>
      </c>
      <c r="B112" s="9">
        <v>30</v>
      </c>
      <c r="C112" s="9"/>
      <c r="D112" s="16">
        <v>414</v>
      </c>
      <c r="E112">
        <f>D112+D112*5%</f>
        <v>434.69999999999999</v>
      </c>
    </row>
    <row r="113" ht="18.75">
      <c r="A113" s="4" t="s">
        <v>98</v>
      </c>
      <c r="B113" s="9">
        <v>35</v>
      </c>
      <c r="C113" s="9"/>
      <c r="D113" s="16">
        <v>384</v>
      </c>
      <c r="E113">
        <f>D113+D113*5%</f>
        <v>403.19999999999999</v>
      </c>
    </row>
    <row r="114" ht="18.75">
      <c r="A114" s="4" t="s">
        <v>99</v>
      </c>
      <c r="B114" s="9">
        <v>30</v>
      </c>
      <c r="C114" s="9"/>
      <c r="D114" s="16">
        <v>252</v>
      </c>
      <c r="E114">
        <f>D114+D114*5%</f>
        <v>264.60000000000002</v>
      </c>
    </row>
    <row r="115" ht="18.75">
      <c r="A115" s="4" t="s">
        <v>100</v>
      </c>
      <c r="B115" s="9">
        <v>35</v>
      </c>
      <c r="C115" s="9"/>
      <c r="D115" s="16">
        <v>252</v>
      </c>
      <c r="E115">
        <f>D115+D115*5%</f>
        <v>264.60000000000002</v>
      </c>
    </row>
    <row r="116" ht="18.75">
      <c r="A116" s="4" t="s">
        <v>101</v>
      </c>
      <c r="B116" s="9">
        <v>35</v>
      </c>
      <c r="C116" s="9"/>
      <c r="D116" s="16">
        <v>252</v>
      </c>
      <c r="E116">
        <f>D116+D116*5%</f>
        <v>264.60000000000002</v>
      </c>
    </row>
    <row r="117" ht="18.75">
      <c r="A117" s="4" t="s">
        <v>102</v>
      </c>
      <c r="B117" s="9">
        <v>35</v>
      </c>
      <c r="C117" s="9"/>
      <c r="D117" s="16">
        <v>270</v>
      </c>
      <c r="E117">
        <f>D117+D117*5%</f>
        <v>283.5</v>
      </c>
    </row>
    <row r="118" ht="18.75">
      <c r="A118" s="4" t="s">
        <v>103</v>
      </c>
      <c r="B118" s="9">
        <v>35</v>
      </c>
      <c r="C118" s="9"/>
      <c r="D118" s="16">
        <v>270</v>
      </c>
      <c r="E118">
        <f>D118+D118*5%</f>
        <v>283.5</v>
      </c>
    </row>
    <row r="119" ht="18.75">
      <c r="A119" s="4" t="s">
        <v>104</v>
      </c>
      <c r="B119" s="9">
        <v>35</v>
      </c>
      <c r="C119" s="9"/>
      <c r="D119" s="16">
        <v>180</v>
      </c>
      <c r="E119">
        <f>D119+D119*5%</f>
        <v>189</v>
      </c>
    </row>
    <row r="120" ht="18.75">
      <c r="A120" s="4" t="s">
        <v>105</v>
      </c>
      <c r="B120" s="9">
        <v>30</v>
      </c>
      <c r="C120" s="9"/>
      <c r="D120" s="16">
        <v>228</v>
      </c>
      <c r="E120">
        <f>D120+D120*5%</f>
        <v>239.40000000000001</v>
      </c>
    </row>
    <row r="121" ht="16.5">
      <c r="A121" s="4"/>
      <c r="B121" s="3"/>
      <c r="C121" s="3"/>
      <c r="D121" s="3"/>
      <c r="E121">
        <f>D121+D121*5%</f>
        <v>0</v>
      </c>
    </row>
    <row r="122" ht="23.25">
      <c r="A122" s="8" t="s">
        <v>106</v>
      </c>
      <c r="B122" s="3"/>
      <c r="C122" s="3"/>
      <c r="D122" s="3"/>
      <c r="E122">
        <f>D122+D122*5%</f>
        <v>0</v>
      </c>
    </row>
    <row r="123" ht="18.75">
      <c r="A123" s="4" t="s">
        <v>107</v>
      </c>
      <c r="B123" s="9">
        <v>50</v>
      </c>
      <c r="C123" s="9"/>
      <c r="D123" s="16">
        <v>312</v>
      </c>
      <c r="E123">
        <f>D123+D123*5%</f>
        <v>327.60000000000002</v>
      </c>
    </row>
    <row r="124" ht="18.75">
      <c r="A124" s="4" t="s">
        <v>108</v>
      </c>
      <c r="B124" s="9">
        <v>50</v>
      </c>
      <c r="C124" s="9"/>
      <c r="D124" s="16">
        <v>354</v>
      </c>
      <c r="E124">
        <f>D124+D124*5%</f>
        <v>371.69999999999999</v>
      </c>
    </row>
    <row r="125" ht="18.75">
      <c r="A125" s="4" t="s">
        <v>96</v>
      </c>
      <c r="B125" s="9">
        <v>50</v>
      </c>
      <c r="C125" s="9"/>
      <c r="D125" s="16">
        <v>354</v>
      </c>
      <c r="E125">
        <f>D125+D125*5%</f>
        <v>371.69999999999999</v>
      </c>
    </row>
    <row r="126" ht="18.75">
      <c r="A126" s="4" t="s">
        <v>109</v>
      </c>
      <c r="B126" s="9">
        <v>50</v>
      </c>
      <c r="C126" s="9"/>
      <c r="D126" s="16">
        <v>336</v>
      </c>
      <c r="E126">
        <f>D126+D126*5%</f>
        <v>352.80000000000001</v>
      </c>
    </row>
    <row r="127" ht="18.75">
      <c r="A127" s="4" t="s">
        <v>110</v>
      </c>
      <c r="B127" s="9">
        <v>50</v>
      </c>
      <c r="C127" s="9"/>
      <c r="D127" s="16">
        <v>306</v>
      </c>
      <c r="E127">
        <f>D127+D127*5%</f>
        <v>321.30000000000001</v>
      </c>
    </row>
    <row r="128" ht="18.75">
      <c r="A128" s="4" t="s">
        <v>111</v>
      </c>
      <c r="B128" s="9">
        <v>50</v>
      </c>
      <c r="C128" s="9"/>
      <c r="D128" s="16">
        <v>276</v>
      </c>
      <c r="E128">
        <f>D128+D128*5%</f>
        <v>289.80000000000001</v>
      </c>
    </row>
    <row r="129" ht="18.75">
      <c r="A129" s="4" t="s">
        <v>112</v>
      </c>
      <c r="B129" s="9">
        <v>50</v>
      </c>
      <c r="C129" s="9"/>
      <c r="D129" s="16">
        <v>228</v>
      </c>
      <c r="E129">
        <f>D129+D129*5%</f>
        <v>239.40000000000001</v>
      </c>
    </row>
    <row r="130" ht="18.75">
      <c r="A130" s="4" t="s">
        <v>113</v>
      </c>
      <c r="B130" s="9">
        <v>50</v>
      </c>
      <c r="C130" s="9"/>
      <c r="D130" s="16">
        <v>204</v>
      </c>
      <c r="E130">
        <f>D130+D130*5%</f>
        <v>214.19999999999999</v>
      </c>
    </row>
    <row r="131" ht="18.75">
      <c r="A131" s="4" t="s">
        <v>114</v>
      </c>
      <c r="B131" s="9">
        <v>50</v>
      </c>
      <c r="C131" s="9"/>
      <c r="D131" s="16">
        <v>234</v>
      </c>
      <c r="E131">
        <f>D131+D131*5%</f>
        <v>245.69999999999999</v>
      </c>
    </row>
    <row r="132" ht="18.75">
      <c r="A132" s="4" t="s">
        <v>115</v>
      </c>
      <c r="B132" s="9">
        <v>50</v>
      </c>
      <c r="C132" s="9"/>
      <c r="D132" s="16">
        <v>294</v>
      </c>
      <c r="E132">
        <f>D132+D132*5%</f>
        <v>308.69999999999999</v>
      </c>
    </row>
    <row r="133" ht="18.75">
      <c r="A133" s="4" t="s">
        <v>116</v>
      </c>
      <c r="B133" s="9">
        <v>50</v>
      </c>
      <c r="C133" s="9"/>
      <c r="D133" s="16">
        <v>282</v>
      </c>
      <c r="E133">
        <f>D133+D133*5%</f>
        <v>296.10000000000002</v>
      </c>
    </row>
    <row r="134" ht="16.5">
      <c r="A134" s="4"/>
      <c r="B134" s="3"/>
      <c r="C134" s="3"/>
      <c r="D134" s="3"/>
      <c r="E134">
        <f>D134+D134*5%</f>
        <v>0</v>
      </c>
    </row>
    <row r="135" ht="23.25">
      <c r="A135" s="8" t="s">
        <v>117</v>
      </c>
      <c r="B135" s="3"/>
      <c r="C135" s="3"/>
      <c r="D135" s="3"/>
      <c r="E135">
        <f>D135+D135*5%</f>
        <v>0</v>
      </c>
    </row>
    <row r="136" ht="18.75">
      <c r="A136" s="4" t="s">
        <v>118</v>
      </c>
      <c r="B136" s="9">
        <v>50</v>
      </c>
      <c r="C136" s="9"/>
      <c r="D136" s="16">
        <v>252</v>
      </c>
      <c r="E136">
        <f>D136+D136*5%</f>
        <v>264.60000000000002</v>
      </c>
    </row>
    <row r="137" ht="18.75">
      <c r="A137" s="4" t="s">
        <v>119</v>
      </c>
      <c r="B137" s="9">
        <v>50</v>
      </c>
      <c r="C137" s="9"/>
      <c r="D137" s="16">
        <v>252</v>
      </c>
      <c r="E137">
        <f>D137+D137*5%</f>
        <v>264.60000000000002</v>
      </c>
    </row>
    <row r="138" ht="18.75">
      <c r="A138" s="4" t="s">
        <v>120</v>
      </c>
      <c r="B138" s="9">
        <v>50</v>
      </c>
      <c r="C138" s="9"/>
      <c r="D138" s="16">
        <v>270</v>
      </c>
      <c r="E138">
        <f>D138+D138*5%</f>
        <v>283.5</v>
      </c>
    </row>
    <row r="139" ht="18.75">
      <c r="A139" s="4" t="s">
        <v>121</v>
      </c>
      <c r="B139" s="9">
        <v>50</v>
      </c>
      <c r="C139" s="9"/>
      <c r="D139" s="16">
        <v>222</v>
      </c>
      <c r="E139">
        <f>D139+D139*5%</f>
        <v>233.09999999999999</v>
      </c>
    </row>
    <row r="140" ht="16.5">
      <c r="A140" s="4"/>
      <c r="B140" s="3"/>
      <c r="C140" s="3"/>
      <c r="D140" s="3"/>
      <c r="E140">
        <f>D140+D140*5%</f>
        <v>0</v>
      </c>
    </row>
    <row r="141" ht="23.25">
      <c r="A141" s="8" t="s">
        <v>122</v>
      </c>
      <c r="B141" s="3"/>
      <c r="C141" s="3"/>
      <c r="D141" s="3"/>
      <c r="E141">
        <f>D141+D141*5%</f>
        <v>0</v>
      </c>
    </row>
    <row r="142" ht="18.75">
      <c r="A142" s="4" t="s">
        <v>123</v>
      </c>
      <c r="B142" s="9">
        <v>50</v>
      </c>
      <c r="C142" s="9"/>
      <c r="D142" s="16">
        <v>135</v>
      </c>
      <c r="E142">
        <f>D142+D142*5%</f>
        <v>141.75</v>
      </c>
    </row>
    <row r="143" ht="18.75">
      <c r="A143" s="4" t="s">
        <v>124</v>
      </c>
      <c r="B143" s="9">
        <v>50</v>
      </c>
      <c r="C143" s="9"/>
      <c r="D143" s="16">
        <v>135</v>
      </c>
      <c r="E143">
        <f>D143+D143*5%</f>
        <v>141.75</v>
      </c>
    </row>
    <row r="144" ht="18.75">
      <c r="A144" s="4" t="s">
        <v>125</v>
      </c>
      <c r="B144" s="9">
        <v>50</v>
      </c>
      <c r="C144" s="9"/>
      <c r="D144" s="16">
        <v>189</v>
      </c>
      <c r="E144">
        <f>D144+D144*5%</f>
        <v>198.44999999999999</v>
      </c>
    </row>
    <row r="145" ht="18.75">
      <c r="A145" s="4" t="s">
        <v>126</v>
      </c>
      <c r="B145" s="9">
        <v>50</v>
      </c>
      <c r="C145" s="9"/>
      <c r="D145" s="16">
        <v>135</v>
      </c>
      <c r="E145">
        <f>D145+D145*5%</f>
        <v>141.75</v>
      </c>
    </row>
    <row r="146" ht="16.5">
      <c r="A146" s="4"/>
      <c r="B146" s="3"/>
      <c r="C146" s="3"/>
      <c r="D146" s="3"/>
      <c r="E146">
        <f>D146+D146*5%</f>
        <v>0</v>
      </c>
    </row>
    <row r="147" ht="23.25">
      <c r="A147" s="8" t="s">
        <v>127</v>
      </c>
      <c r="B147" s="3"/>
      <c r="C147" s="3"/>
      <c r="D147" s="3"/>
      <c r="E147">
        <f>D147+D147*5%</f>
        <v>0</v>
      </c>
    </row>
    <row r="148" ht="18.75">
      <c r="A148" s="4" t="s">
        <v>128</v>
      </c>
      <c r="B148" s="9">
        <v>40</v>
      </c>
      <c r="C148" s="9"/>
      <c r="D148" s="16">
        <v>222</v>
      </c>
      <c r="E148">
        <f>D148+D148*5%</f>
        <v>233.09999999999999</v>
      </c>
    </row>
    <row r="149" ht="18.75">
      <c r="A149" s="4" t="s">
        <v>129</v>
      </c>
      <c r="B149" s="9">
        <v>40</v>
      </c>
      <c r="C149" s="9"/>
      <c r="D149" s="16">
        <v>186</v>
      </c>
      <c r="E149">
        <f>D149+D149*5%</f>
        <v>195.30000000000001</v>
      </c>
    </row>
    <row r="150" ht="33">
      <c r="A150" s="4" t="s">
        <v>130</v>
      </c>
      <c r="B150" s="9">
        <v>40</v>
      </c>
      <c r="C150" s="9"/>
      <c r="D150" s="16">
        <v>204</v>
      </c>
      <c r="E150">
        <f>D150+D150*5%</f>
        <v>214.19999999999999</v>
      </c>
    </row>
    <row r="151" ht="18.75">
      <c r="A151" s="4" t="s">
        <v>131</v>
      </c>
      <c r="B151" s="9">
        <v>40</v>
      </c>
      <c r="C151" s="9"/>
      <c r="D151" s="16">
        <v>204</v>
      </c>
      <c r="E151">
        <f>D151+D151*5%</f>
        <v>214.19999999999999</v>
      </c>
    </row>
    <row r="152" ht="16.5">
      <c r="A152" s="4"/>
      <c r="B152" s="3"/>
      <c r="C152" s="3"/>
      <c r="D152" s="3"/>
      <c r="E152">
        <f>D152+D152*5%</f>
        <v>0</v>
      </c>
    </row>
    <row r="153" ht="23.25">
      <c r="A153" s="8" t="s">
        <v>132</v>
      </c>
      <c r="B153" s="3"/>
      <c r="C153" s="3"/>
      <c r="D153" s="3"/>
      <c r="E153">
        <f>D153+D153*5%</f>
        <v>0</v>
      </c>
    </row>
    <row r="154" ht="18.75">
      <c r="A154" s="4" t="s">
        <v>133</v>
      </c>
      <c r="B154" s="11">
        <v>250</v>
      </c>
      <c r="C154" s="11"/>
      <c r="D154" s="16">
        <v>1134</v>
      </c>
      <c r="E154">
        <f>D154+D154*5%</f>
        <v>1190.7</v>
      </c>
    </row>
    <row r="155" ht="33">
      <c r="A155" s="4" t="s">
        <v>134</v>
      </c>
      <c r="B155" s="11">
        <v>250</v>
      </c>
      <c r="C155" s="11"/>
      <c r="D155" s="16">
        <v>1986</v>
      </c>
      <c r="E155">
        <f>D155+D155*5%</f>
        <v>2085.3000000000002</v>
      </c>
    </row>
    <row r="156" ht="33">
      <c r="A156" s="4" t="s">
        <v>135</v>
      </c>
      <c r="B156" s="11">
        <v>400</v>
      </c>
      <c r="C156" s="11"/>
      <c r="D156" s="16">
        <v>1932</v>
      </c>
      <c r="E156">
        <f>D156+D156*5%</f>
        <v>2028.5999999999999</v>
      </c>
    </row>
    <row r="157" ht="18.75">
      <c r="A157" s="4" t="s">
        <v>136</v>
      </c>
      <c r="B157" s="11">
        <v>400</v>
      </c>
      <c r="C157" s="11"/>
      <c r="D157" s="16">
        <v>1734</v>
      </c>
      <c r="E157">
        <f>D157+D157*5%</f>
        <v>1820.7</v>
      </c>
    </row>
    <row r="158" ht="33">
      <c r="A158" s="4" t="s">
        <v>137</v>
      </c>
      <c r="B158" s="11">
        <v>450</v>
      </c>
      <c r="C158" s="11"/>
      <c r="D158" s="16">
        <v>1320</v>
      </c>
      <c r="E158">
        <f>D158+D158*5%</f>
        <v>1386</v>
      </c>
    </row>
    <row r="159" ht="33">
      <c r="A159" s="4" t="s">
        <v>138</v>
      </c>
      <c r="B159" s="11">
        <v>450</v>
      </c>
      <c r="C159" s="11"/>
      <c r="D159" s="16">
        <v>1860</v>
      </c>
      <c r="E159">
        <f>D159+D159*5%</f>
        <v>1953</v>
      </c>
    </row>
    <row r="160" ht="49.5">
      <c r="A160" s="4" t="s">
        <v>139</v>
      </c>
      <c r="B160" s="11">
        <v>100</v>
      </c>
      <c r="C160" s="11"/>
      <c r="D160" s="16">
        <v>714</v>
      </c>
      <c r="E160">
        <f>D160+D160*5%</f>
        <v>749.70000000000005</v>
      </c>
    </row>
    <row r="161" ht="33">
      <c r="A161" s="4" t="s">
        <v>140</v>
      </c>
      <c r="B161" s="11">
        <v>250</v>
      </c>
      <c r="C161" s="11"/>
      <c r="D161" s="16">
        <v>756</v>
      </c>
      <c r="E161">
        <f>D161+D161*5%</f>
        <v>793.79999999999995</v>
      </c>
    </row>
    <row r="162" ht="33">
      <c r="A162" s="4" t="s">
        <v>141</v>
      </c>
      <c r="B162" s="9">
        <v>80</v>
      </c>
      <c r="C162" s="9"/>
      <c r="D162" s="16">
        <v>504</v>
      </c>
      <c r="E162">
        <f>D162+D162*5%</f>
        <v>529.20000000000005</v>
      </c>
    </row>
    <row r="163" ht="16.5">
      <c r="A163" s="4"/>
      <c r="B163" s="3"/>
      <c r="C163" s="3"/>
      <c r="D163" s="3"/>
      <c r="E163">
        <f>D163+D163*5%</f>
        <v>0</v>
      </c>
    </row>
    <row r="164" ht="23.25">
      <c r="A164" s="8" t="s">
        <v>142</v>
      </c>
      <c r="B164" s="3"/>
      <c r="C164" s="3"/>
      <c r="D164" s="3"/>
      <c r="E164">
        <f>D164+D164*5%</f>
        <v>0</v>
      </c>
    </row>
    <row r="165" ht="18.75">
      <c r="A165" s="4" t="s">
        <v>143</v>
      </c>
      <c r="B165" s="9">
        <v>60</v>
      </c>
      <c r="C165" s="9"/>
      <c r="D165" s="16">
        <v>302</v>
      </c>
      <c r="E165">
        <f>D165+D165*5%</f>
        <v>317.10000000000002</v>
      </c>
    </row>
    <row r="166" ht="18.75">
      <c r="A166" s="4" t="s">
        <v>144</v>
      </c>
      <c r="B166" s="9">
        <v>60</v>
      </c>
      <c r="C166" s="9"/>
      <c r="D166" s="16">
        <v>302</v>
      </c>
      <c r="E166">
        <f>D166+D166*5%</f>
        <v>317.10000000000002</v>
      </c>
    </row>
    <row r="167" ht="18.75">
      <c r="A167" s="4" t="s">
        <v>145</v>
      </c>
      <c r="B167" s="9">
        <v>60</v>
      </c>
      <c r="C167" s="9"/>
      <c r="D167" s="16">
        <v>400</v>
      </c>
      <c r="E167">
        <f>D167+D167*5%</f>
        <v>420</v>
      </c>
    </row>
    <row r="168" ht="33">
      <c r="A168" s="4" t="s">
        <v>146</v>
      </c>
      <c r="B168" s="9">
        <v>60</v>
      </c>
      <c r="C168" s="9"/>
      <c r="D168" s="16">
        <v>400</v>
      </c>
      <c r="E168">
        <f>D168+D168*5%</f>
        <v>420</v>
      </c>
    </row>
    <row r="169" ht="18.75">
      <c r="A169" s="4" t="s">
        <v>147</v>
      </c>
      <c r="B169" s="9">
        <v>60</v>
      </c>
      <c r="C169" s="9"/>
      <c r="D169" s="16">
        <v>338</v>
      </c>
      <c r="E169">
        <f>D169+D169*5%</f>
        <v>354.89999999999998</v>
      </c>
    </row>
    <row r="170" ht="18.75">
      <c r="A170" s="4" t="s">
        <v>148</v>
      </c>
      <c r="B170" s="9">
        <v>60</v>
      </c>
      <c r="C170" s="9"/>
      <c r="D170" s="16">
        <v>338</v>
      </c>
      <c r="E170">
        <f>D170+D170*5%</f>
        <v>354.89999999999998</v>
      </c>
    </row>
    <row r="171" ht="33">
      <c r="A171" s="4" t="s">
        <v>149</v>
      </c>
      <c r="B171" s="9">
        <v>60</v>
      </c>
      <c r="C171" s="9"/>
      <c r="D171" s="16">
        <v>386</v>
      </c>
      <c r="E171">
        <f>D171+D171*5%</f>
        <v>405.30000000000001</v>
      </c>
    </row>
    <row r="172" ht="16.5">
      <c r="A172" s="4"/>
      <c r="B172" s="3"/>
      <c r="C172" s="3"/>
      <c r="D172" s="3"/>
      <c r="E172">
        <f>D172+D172*5%</f>
        <v>0</v>
      </c>
    </row>
    <row r="173" ht="23.25">
      <c r="A173" s="8" t="s">
        <v>150</v>
      </c>
      <c r="B173" s="3"/>
      <c r="C173" s="3"/>
      <c r="D173" s="3"/>
      <c r="E173">
        <f>D173+D173*5%</f>
        <v>0</v>
      </c>
    </row>
    <row r="174" ht="18.75">
      <c r="A174" s="4" t="s">
        <v>143</v>
      </c>
      <c r="B174" s="9">
        <v>150</v>
      </c>
      <c r="C174" s="9"/>
      <c r="D174" s="16">
        <v>756</v>
      </c>
      <c r="E174">
        <f>D174+D174*5%</f>
        <v>793.79999999999995</v>
      </c>
    </row>
    <row r="175" ht="18.75">
      <c r="A175" s="4" t="s">
        <v>144</v>
      </c>
      <c r="B175" s="9">
        <v>150</v>
      </c>
      <c r="C175" s="9"/>
      <c r="D175" s="16">
        <v>756</v>
      </c>
      <c r="E175">
        <f>D175+D175*5%</f>
        <v>793.79999999999995</v>
      </c>
    </row>
    <row r="176" ht="33">
      <c r="A176" s="4" t="s">
        <v>151</v>
      </c>
      <c r="B176" s="9">
        <v>150</v>
      </c>
      <c r="C176" s="9"/>
      <c r="D176" s="16">
        <v>768</v>
      </c>
      <c r="E176">
        <f>D176+D176*5%</f>
        <v>806.39999999999998</v>
      </c>
    </row>
    <row r="177" ht="18.75">
      <c r="A177" s="4" t="s">
        <v>152</v>
      </c>
      <c r="B177" s="9">
        <v>150</v>
      </c>
      <c r="C177" s="9"/>
      <c r="D177" s="16">
        <v>834</v>
      </c>
      <c r="E177">
        <f>D177+D177*5%</f>
        <v>875.70000000000005</v>
      </c>
    </row>
    <row r="178" ht="33">
      <c r="A178" s="4" t="s">
        <v>153</v>
      </c>
      <c r="B178" s="9">
        <v>150</v>
      </c>
      <c r="C178" s="9"/>
      <c r="D178" s="16">
        <v>732</v>
      </c>
      <c r="E178">
        <f>D178+D178*5%</f>
        <v>768.60000000000002</v>
      </c>
    </row>
    <row r="179" ht="33">
      <c r="A179" s="4" t="s">
        <v>154</v>
      </c>
      <c r="B179" s="9">
        <v>150</v>
      </c>
      <c r="C179" s="9"/>
      <c r="D179" s="16">
        <v>702</v>
      </c>
      <c r="E179">
        <f>D179+D179*5%</f>
        <v>737.10000000000002</v>
      </c>
    </row>
    <row r="180" ht="33">
      <c r="A180" s="4" t="s">
        <v>155</v>
      </c>
      <c r="B180" s="9">
        <v>150</v>
      </c>
      <c r="C180" s="9"/>
      <c r="D180" s="16">
        <v>798</v>
      </c>
      <c r="E180">
        <f>D180+D180*5%</f>
        <v>837.89999999999998</v>
      </c>
    </row>
    <row r="181" ht="33">
      <c r="A181" s="4" t="s">
        <v>156</v>
      </c>
      <c r="B181" s="9">
        <v>150</v>
      </c>
      <c r="C181" s="9"/>
      <c r="D181" s="16">
        <v>630</v>
      </c>
      <c r="E181">
        <f>D181+D181*5%</f>
        <v>661.5</v>
      </c>
    </row>
    <row r="182" ht="18.75">
      <c r="A182" s="4" t="s">
        <v>157</v>
      </c>
      <c r="B182" s="9">
        <v>150</v>
      </c>
      <c r="C182" s="9"/>
      <c r="D182" s="16">
        <v>696</v>
      </c>
      <c r="E182">
        <f>D182+D182*5%</f>
        <v>730.79999999999995</v>
      </c>
    </row>
    <row r="183" ht="33">
      <c r="A183" s="4" t="s">
        <v>158</v>
      </c>
      <c r="B183" s="9">
        <v>150</v>
      </c>
      <c r="C183" s="9"/>
      <c r="D183" s="16">
        <v>558</v>
      </c>
      <c r="E183">
        <f>D183+D183*5%</f>
        <v>585.89999999999998</v>
      </c>
    </row>
    <row r="184" ht="18.75">
      <c r="A184" s="4" t="s">
        <v>159</v>
      </c>
      <c r="B184" s="9">
        <v>150</v>
      </c>
      <c r="C184" s="9"/>
      <c r="D184" s="16">
        <v>690</v>
      </c>
      <c r="E184">
        <f>D184+D184*5%</f>
        <v>724.5</v>
      </c>
    </row>
    <row r="185" ht="33">
      <c r="A185" s="4" t="s">
        <v>160</v>
      </c>
      <c r="B185" s="9">
        <v>150</v>
      </c>
      <c r="C185" s="9"/>
      <c r="D185" s="16">
        <v>706</v>
      </c>
      <c r="E185">
        <f>D185+D185*5%</f>
        <v>741.29999999999995</v>
      </c>
    </row>
    <row r="186" ht="18.75">
      <c r="A186" s="4" t="s">
        <v>161</v>
      </c>
      <c r="B186" s="9">
        <v>150</v>
      </c>
      <c r="C186" s="9"/>
      <c r="D186" s="16">
        <v>648</v>
      </c>
      <c r="E186">
        <f>D186+D186*5%</f>
        <v>680.39999999999998</v>
      </c>
    </row>
    <row r="187" ht="33">
      <c r="A187" s="4" t="s">
        <v>162</v>
      </c>
      <c r="B187" s="9">
        <v>150</v>
      </c>
      <c r="C187" s="9"/>
      <c r="D187" s="16">
        <v>588</v>
      </c>
      <c r="E187">
        <f>D187+D187*5%</f>
        <v>617.39999999999998</v>
      </c>
    </row>
    <row r="188" ht="33">
      <c r="A188" s="4" t="s">
        <v>163</v>
      </c>
      <c r="B188" s="9">
        <v>150</v>
      </c>
      <c r="C188" s="9"/>
      <c r="D188" s="16">
        <v>780</v>
      </c>
      <c r="E188">
        <f>D188+D188*5%</f>
        <v>819</v>
      </c>
    </row>
    <row r="189" ht="33">
      <c r="A189" s="4" t="s">
        <v>164</v>
      </c>
      <c r="B189" s="9">
        <v>150</v>
      </c>
      <c r="C189" s="9"/>
      <c r="D189" s="16">
        <v>642</v>
      </c>
      <c r="E189">
        <f>D189+D189*5%</f>
        <v>674.10000000000002</v>
      </c>
    </row>
    <row r="190" ht="33">
      <c r="A190" s="4" t="s">
        <v>165</v>
      </c>
      <c r="B190" s="9">
        <v>150</v>
      </c>
      <c r="C190" s="9"/>
      <c r="D190" s="16">
        <v>624</v>
      </c>
      <c r="E190">
        <f>D190+D190*5%</f>
        <v>655.20000000000005</v>
      </c>
    </row>
    <row r="191" ht="33">
      <c r="A191" s="4" t="s">
        <v>166</v>
      </c>
      <c r="B191" s="9">
        <v>150</v>
      </c>
      <c r="C191" s="9"/>
      <c r="D191" s="16">
        <v>588</v>
      </c>
      <c r="E191">
        <f>D191+D191*5%</f>
        <v>617.39999999999998</v>
      </c>
    </row>
    <row r="192" ht="33">
      <c r="A192" s="4" t="s">
        <v>167</v>
      </c>
      <c r="B192" s="9">
        <v>150</v>
      </c>
      <c r="C192" s="9"/>
      <c r="D192" s="16">
        <v>706</v>
      </c>
      <c r="E192">
        <f>D192+D192*5%</f>
        <v>741.29999999999995</v>
      </c>
    </row>
    <row r="193" ht="18.75">
      <c r="A193" s="4" t="s">
        <v>168</v>
      </c>
      <c r="B193" s="9">
        <v>150</v>
      </c>
      <c r="C193" s="9"/>
      <c r="D193" s="16">
        <v>706</v>
      </c>
      <c r="E193">
        <f>D193+D193*5%</f>
        <v>741.29999999999995</v>
      </c>
    </row>
    <row r="194" ht="16.5">
      <c r="A194" s="4"/>
      <c r="B194" s="3"/>
      <c r="C194" s="3"/>
      <c r="D194" s="3"/>
      <c r="E194">
        <f>D194+D194*5%</f>
        <v>0</v>
      </c>
    </row>
    <row r="195" ht="23.25">
      <c r="A195" s="8" t="s">
        <v>169</v>
      </c>
      <c r="B195" s="3"/>
      <c r="C195" s="3"/>
      <c r="D195" s="3"/>
      <c r="E195">
        <f>D195+D195*5%</f>
        <v>0</v>
      </c>
    </row>
    <row r="196" ht="18.75">
      <c r="A196" s="4" t="s">
        <v>170</v>
      </c>
      <c r="B196" s="9">
        <v>25</v>
      </c>
      <c r="C196" s="9"/>
      <c r="D196" s="16">
        <v>186</v>
      </c>
      <c r="E196">
        <f>D196+D196*5%</f>
        <v>195.30000000000001</v>
      </c>
    </row>
    <row r="197" ht="18.75">
      <c r="A197" s="4" t="s">
        <v>171</v>
      </c>
      <c r="B197" s="9">
        <v>30</v>
      </c>
      <c r="C197" s="9"/>
      <c r="D197" s="16">
        <v>192</v>
      </c>
      <c r="E197">
        <f>D197+D197*5%</f>
        <v>201.59999999999999</v>
      </c>
    </row>
    <row r="198" ht="18.75">
      <c r="A198" s="4" t="s">
        <v>172</v>
      </c>
      <c r="B198" s="9">
        <v>150</v>
      </c>
      <c r="C198" s="9"/>
      <c r="D198" s="16">
        <v>302</v>
      </c>
      <c r="E198">
        <f>D198+D198*5%</f>
        <v>317.10000000000002</v>
      </c>
    </row>
    <row r="199" ht="16.5">
      <c r="A199" s="4"/>
      <c r="B199" s="3"/>
      <c r="C199" s="3"/>
      <c r="D199" s="3"/>
      <c r="E199">
        <f>D199+D199*5%</f>
        <v>0</v>
      </c>
    </row>
    <row r="200" ht="23.25">
      <c r="A200" s="8" t="s">
        <v>173</v>
      </c>
      <c r="B200" s="3"/>
      <c r="C200" s="3"/>
      <c r="D200" s="3"/>
      <c r="E200">
        <f>D200+D200*5%</f>
        <v>0</v>
      </c>
    </row>
    <row r="201" ht="18.75">
      <c r="A201" s="4" t="s">
        <v>174</v>
      </c>
      <c r="B201" s="9">
        <v>50</v>
      </c>
      <c r="C201" s="9"/>
      <c r="D201" s="16">
        <v>180</v>
      </c>
      <c r="E201">
        <f>D201+D201*5%</f>
        <v>189</v>
      </c>
    </row>
    <row r="202" ht="18.75">
      <c r="A202" s="4" t="s">
        <v>175</v>
      </c>
      <c r="B202" s="9">
        <v>50</v>
      </c>
      <c r="C202" s="9"/>
      <c r="D202" s="16">
        <v>180</v>
      </c>
      <c r="E202">
        <f>D202+D202*5%</f>
        <v>189</v>
      </c>
    </row>
    <row r="203" ht="18.75">
      <c r="A203" s="4" t="s">
        <v>176</v>
      </c>
      <c r="B203" s="9">
        <v>50</v>
      </c>
      <c r="C203" s="9"/>
      <c r="D203" s="16">
        <v>180</v>
      </c>
      <c r="E203">
        <f>D203+D203*5%</f>
        <v>189</v>
      </c>
    </row>
    <row r="204" ht="18.75">
      <c r="A204" s="4" t="s">
        <v>177</v>
      </c>
      <c r="B204" s="9">
        <v>50</v>
      </c>
      <c r="C204" s="9"/>
      <c r="D204" s="16">
        <v>180</v>
      </c>
      <c r="E204">
        <f>D204+D204*5%</f>
        <v>189</v>
      </c>
    </row>
    <row r="205" ht="16.5">
      <c r="A205" s="4"/>
      <c r="B205" s="3"/>
      <c r="C205" s="3"/>
      <c r="D205" s="3"/>
      <c r="E205">
        <f>D205+D205*5%</f>
        <v>0</v>
      </c>
    </row>
    <row r="206" ht="23.25">
      <c r="A206" s="8" t="s">
        <v>178</v>
      </c>
      <c r="B206" s="3"/>
      <c r="C206" s="3"/>
      <c r="D206" s="3"/>
      <c r="E206">
        <f>D206+D206*5%</f>
        <v>0</v>
      </c>
    </row>
    <row r="207" ht="18.75">
      <c r="A207" s="4" t="s">
        <v>179</v>
      </c>
      <c r="B207" s="9">
        <v>250</v>
      </c>
      <c r="C207" s="9"/>
      <c r="D207" s="16">
        <v>492</v>
      </c>
      <c r="E207">
        <f>D207+D207*5%</f>
        <v>516.60000000000002</v>
      </c>
    </row>
    <row r="208" ht="18.75">
      <c r="A208" s="4" t="s">
        <v>180</v>
      </c>
      <c r="B208" s="9">
        <v>250</v>
      </c>
      <c r="C208" s="9"/>
      <c r="D208" s="16">
        <v>468</v>
      </c>
      <c r="E208">
        <f>D208+D208*5%</f>
        <v>491.39999999999998</v>
      </c>
    </row>
    <row r="209" ht="18.75">
      <c r="A209" s="4" t="s">
        <v>181</v>
      </c>
      <c r="B209" s="9">
        <v>250</v>
      </c>
      <c r="C209" s="9"/>
      <c r="D209" s="16">
        <v>372</v>
      </c>
      <c r="E209">
        <f>D209+D209*5%</f>
        <v>390.60000000000002</v>
      </c>
    </row>
    <row r="210" ht="18.75">
      <c r="A210" s="4" t="s">
        <v>182</v>
      </c>
      <c r="B210" s="9">
        <v>250</v>
      </c>
      <c r="C210" s="9"/>
      <c r="D210" s="16">
        <v>396</v>
      </c>
      <c r="E210">
        <f>D210+D210*5%</f>
        <v>415.80000000000001</v>
      </c>
    </row>
    <row r="211" ht="18.75">
      <c r="A211" s="4" t="s">
        <v>183</v>
      </c>
      <c r="B211" s="9">
        <v>250</v>
      </c>
      <c r="C211" s="9"/>
      <c r="D211" s="16">
        <v>504</v>
      </c>
      <c r="E211">
        <f>D211+D211*5%</f>
        <v>529.20000000000005</v>
      </c>
    </row>
    <row r="212" ht="18.75">
      <c r="A212" s="4" t="s">
        <v>184</v>
      </c>
      <c r="B212" s="9">
        <v>250</v>
      </c>
      <c r="C212" s="9"/>
      <c r="D212" s="16">
        <v>354</v>
      </c>
      <c r="E212">
        <f>D212+D212*5%</f>
        <v>371.69999999999999</v>
      </c>
    </row>
    <row r="213" ht="18.75">
      <c r="A213" s="4" t="s">
        <v>185</v>
      </c>
      <c r="B213" s="9">
        <v>250</v>
      </c>
      <c r="C213" s="9"/>
      <c r="D213" s="16">
        <v>420</v>
      </c>
      <c r="E213">
        <f>D213+D213*5%</f>
        <v>441</v>
      </c>
    </row>
    <row r="214" ht="18.75">
      <c r="A214" s="4" t="s">
        <v>186</v>
      </c>
      <c r="B214" s="9">
        <v>250</v>
      </c>
      <c r="C214" s="9"/>
      <c r="D214" s="16">
        <v>780</v>
      </c>
      <c r="E214">
        <f>D214+D214*5%</f>
        <v>819</v>
      </c>
    </row>
    <row r="215" ht="18.75">
      <c r="A215" s="4" t="s">
        <v>187</v>
      </c>
      <c r="B215" s="9">
        <v>250</v>
      </c>
      <c r="C215" s="9"/>
      <c r="D215" s="16">
        <v>576</v>
      </c>
      <c r="E215">
        <f>D215+D215*5%</f>
        <v>604.79999999999995</v>
      </c>
    </row>
    <row r="216" ht="16.5">
      <c r="A216" s="4"/>
      <c r="B216" s="3"/>
      <c r="C216" s="3"/>
      <c r="D216" s="3"/>
      <c r="E216">
        <f>D216+D216*5%</f>
        <v>0</v>
      </c>
    </row>
    <row r="217" ht="23.25">
      <c r="A217" s="8" t="s">
        <v>188</v>
      </c>
      <c r="B217" s="3"/>
      <c r="C217" s="3"/>
      <c r="D217" s="3"/>
      <c r="E217">
        <f>D217+D217*5%</f>
        <v>0</v>
      </c>
    </row>
    <row r="218" ht="18.75">
      <c r="A218" s="12" t="s">
        <v>189</v>
      </c>
      <c r="B218" s="9">
        <v>180</v>
      </c>
      <c r="C218" s="9"/>
      <c r="D218" s="16">
        <v>756</v>
      </c>
      <c r="E218">
        <f>D218+D218*5%</f>
        <v>793.79999999999995</v>
      </c>
    </row>
    <row r="219" ht="18.75">
      <c r="A219" s="12" t="s">
        <v>190</v>
      </c>
      <c r="B219" s="9">
        <v>180</v>
      </c>
      <c r="C219" s="9"/>
      <c r="D219" s="16">
        <v>756</v>
      </c>
      <c r="E219">
        <f>D219+D219*5%</f>
        <v>793.79999999999995</v>
      </c>
    </row>
    <row r="220" ht="18.75">
      <c r="A220" s="12" t="s">
        <v>191</v>
      </c>
      <c r="B220" s="11">
        <v>100</v>
      </c>
      <c r="C220" s="11"/>
      <c r="D220" s="16">
        <v>654</v>
      </c>
      <c r="E220">
        <f>D220+D220*5%</f>
        <v>686.70000000000005</v>
      </c>
    </row>
    <row r="221" ht="16.5">
      <c r="A221" s="4"/>
      <c r="B221" s="4"/>
      <c r="C221" s="4"/>
      <c r="D221" s="3"/>
      <c r="E221">
        <f>D221+D221*5%</f>
        <v>0</v>
      </c>
    </row>
    <row r="222" ht="23.25">
      <c r="A222" s="8" t="s">
        <v>192</v>
      </c>
      <c r="B222" s="3"/>
      <c r="C222" s="3"/>
      <c r="D222" s="3"/>
      <c r="E222">
        <f>D222+D222*5%</f>
        <v>0</v>
      </c>
    </row>
    <row r="223" ht="18.75">
      <c r="A223" s="4" t="s">
        <v>193</v>
      </c>
      <c r="B223" s="9">
        <v>60</v>
      </c>
      <c r="C223" s="9"/>
      <c r="D223" s="16">
        <v>486</v>
      </c>
      <c r="E223">
        <f>D223+D223*5%</f>
        <v>510.30000000000001</v>
      </c>
    </row>
    <row r="224" ht="18.75">
      <c r="A224" s="4" t="s">
        <v>194</v>
      </c>
      <c r="B224" s="9">
        <v>60</v>
      </c>
      <c r="C224" s="9"/>
      <c r="D224" s="16">
        <v>486</v>
      </c>
      <c r="E224">
        <f>D224+D224*5%</f>
        <v>510.30000000000001</v>
      </c>
    </row>
    <row r="225" ht="18.75">
      <c r="A225" s="4" t="s">
        <v>195</v>
      </c>
      <c r="B225" s="9">
        <v>60</v>
      </c>
      <c r="C225" s="9"/>
      <c r="D225" s="16">
        <v>414</v>
      </c>
      <c r="E225">
        <f>D225+D225*5%</f>
        <v>434.69999999999999</v>
      </c>
    </row>
    <row r="226" ht="18.75">
      <c r="A226" s="4" t="s">
        <v>196</v>
      </c>
      <c r="B226" s="9">
        <v>60</v>
      </c>
      <c r="C226" s="9"/>
      <c r="D226" s="16">
        <v>564</v>
      </c>
      <c r="E226">
        <f>D226+D226*5%</f>
        <v>592.20000000000005</v>
      </c>
    </row>
    <row r="227" ht="18.75">
      <c r="A227" s="4" t="s">
        <v>197</v>
      </c>
      <c r="B227" s="9">
        <v>35</v>
      </c>
      <c r="C227" s="9"/>
      <c r="D227" s="16">
        <v>302</v>
      </c>
      <c r="E227">
        <f>D227+D227*5%</f>
        <v>317.10000000000002</v>
      </c>
    </row>
    <row r="228" ht="18.75">
      <c r="A228" s="4" t="s">
        <v>198</v>
      </c>
      <c r="B228" s="9">
        <v>45</v>
      </c>
      <c r="C228" s="9"/>
      <c r="D228" s="16">
        <v>270</v>
      </c>
      <c r="E228">
        <f>D228+D228*5%</f>
        <v>283.5</v>
      </c>
    </row>
    <row r="229" ht="18.75">
      <c r="A229" s="4" t="s">
        <v>199</v>
      </c>
      <c r="B229" s="9">
        <v>90</v>
      </c>
      <c r="C229" s="9"/>
      <c r="D229" s="16">
        <v>302</v>
      </c>
      <c r="E229">
        <f>D229+D229*5%</f>
        <v>317.10000000000002</v>
      </c>
    </row>
    <row r="230" ht="18.75">
      <c r="A230" s="4" t="s">
        <v>200</v>
      </c>
      <c r="B230" s="9">
        <v>45</v>
      </c>
      <c r="C230" s="9"/>
      <c r="D230" s="16">
        <v>168</v>
      </c>
      <c r="E230">
        <f>D230+D230*5%</f>
        <v>176.40000000000001</v>
      </c>
    </row>
    <row r="231" ht="18.75">
      <c r="A231" s="4" t="s">
        <v>201</v>
      </c>
      <c r="B231" s="9">
        <v>35</v>
      </c>
      <c r="C231" s="9"/>
      <c r="D231" s="16">
        <v>384</v>
      </c>
      <c r="E231">
        <f>D231+D231*5%</f>
        <v>403.19999999999999</v>
      </c>
    </row>
    <row r="232" ht="18.75">
      <c r="A232" s="4" t="s">
        <v>202</v>
      </c>
      <c r="B232" s="9">
        <v>60</v>
      </c>
      <c r="C232" s="9"/>
      <c r="D232" s="16">
        <v>594</v>
      </c>
      <c r="E232">
        <f>D232+D232*5%</f>
        <v>623.70000000000005</v>
      </c>
    </row>
    <row r="233" ht="18.75">
      <c r="A233" s="4" t="s">
        <v>203</v>
      </c>
      <c r="B233" s="9">
        <v>30</v>
      </c>
      <c r="C233" s="9"/>
      <c r="D233" s="16">
        <v>270</v>
      </c>
      <c r="E233">
        <f>D233+D233*5%</f>
        <v>283.5</v>
      </c>
    </row>
    <row r="234" ht="18.75">
      <c r="A234" s="4" t="s">
        <v>204</v>
      </c>
      <c r="B234" s="9">
        <v>60</v>
      </c>
      <c r="C234" s="9"/>
      <c r="D234" s="16">
        <v>498</v>
      </c>
      <c r="E234">
        <f>D234+D234*5%</f>
        <v>522.89999999999998</v>
      </c>
    </row>
    <row r="235" ht="18.75">
      <c r="A235" s="4" t="s">
        <v>205</v>
      </c>
      <c r="B235" s="9">
        <v>50</v>
      </c>
      <c r="C235" s="9"/>
      <c r="D235" s="16">
        <v>216</v>
      </c>
      <c r="E235">
        <f>D235+D235*5%</f>
        <v>226.80000000000001</v>
      </c>
    </row>
    <row r="236" ht="18.75">
      <c r="A236" s="4" t="s">
        <v>206</v>
      </c>
      <c r="B236" s="9">
        <v>180</v>
      </c>
      <c r="C236" s="9"/>
      <c r="D236" s="16">
        <v>402</v>
      </c>
      <c r="E236">
        <f>D236+D236*5%</f>
        <v>422.10000000000002</v>
      </c>
    </row>
    <row r="237" ht="18.75">
      <c r="A237" s="4" t="s">
        <v>207</v>
      </c>
      <c r="B237" s="9">
        <v>120</v>
      </c>
      <c r="C237" s="9"/>
      <c r="D237" s="16">
        <v>756</v>
      </c>
      <c r="E237">
        <f>D237+D237*5%</f>
        <v>793.79999999999995</v>
      </c>
    </row>
    <row r="238" ht="18.75">
      <c r="A238" s="4" t="s">
        <v>208</v>
      </c>
      <c r="B238" s="9">
        <v>80</v>
      </c>
      <c r="C238" s="9"/>
      <c r="D238" s="16">
        <v>450</v>
      </c>
      <c r="E238">
        <f>D238+D238*5%</f>
        <v>472.5</v>
      </c>
    </row>
    <row r="239" ht="18.75">
      <c r="A239" s="4" t="s">
        <v>208</v>
      </c>
      <c r="B239" s="9">
        <v>40</v>
      </c>
      <c r="C239" s="9"/>
      <c r="D239" s="16">
        <v>252</v>
      </c>
      <c r="E239">
        <f>D239+D239*5%</f>
        <v>264.60000000000002</v>
      </c>
    </row>
    <row r="240" ht="18.75">
      <c r="A240" s="4" t="s">
        <v>209</v>
      </c>
      <c r="B240" s="9">
        <v>40</v>
      </c>
      <c r="C240" s="9"/>
      <c r="D240" s="16">
        <v>192</v>
      </c>
      <c r="E240">
        <f>D240+D240*5%</f>
        <v>201.59999999999999</v>
      </c>
    </row>
    <row r="241" ht="18.75">
      <c r="A241" s="4" t="s">
        <v>210</v>
      </c>
      <c r="B241" s="9">
        <v>30</v>
      </c>
      <c r="C241" s="9"/>
      <c r="D241" s="16">
        <v>120</v>
      </c>
      <c r="E241">
        <f>D241+D241*5%</f>
        <v>126</v>
      </c>
    </row>
    <row r="242" ht="33">
      <c r="A242" s="4" t="s">
        <v>211</v>
      </c>
      <c r="B242" s="9">
        <v>80</v>
      </c>
      <c r="C242" s="9"/>
      <c r="D242" s="16">
        <v>252</v>
      </c>
      <c r="E242">
        <f>D242+D242*5%</f>
        <v>264.60000000000002</v>
      </c>
    </row>
    <row r="243" ht="18.75">
      <c r="A243" s="4" t="s">
        <v>212</v>
      </c>
      <c r="B243" s="9">
        <v>60</v>
      </c>
      <c r="C243" s="9"/>
      <c r="D243" s="16">
        <v>384</v>
      </c>
      <c r="E243">
        <f>D243+D243*5%</f>
        <v>403.19999999999999</v>
      </c>
    </row>
    <row r="244" ht="18.75">
      <c r="A244" s="4" t="s">
        <v>213</v>
      </c>
      <c r="B244" s="9">
        <v>100</v>
      </c>
      <c r="C244" s="9"/>
      <c r="D244" s="16">
        <v>370</v>
      </c>
      <c r="E244">
        <f>D244+D244*5%</f>
        <v>388.5</v>
      </c>
    </row>
    <row r="245" ht="16.5">
      <c r="A245" s="4"/>
      <c r="B245" s="3"/>
      <c r="C245" s="3"/>
      <c r="D245" s="3"/>
      <c r="E245">
        <f>D245+D245*5%</f>
        <v>0</v>
      </c>
    </row>
    <row r="246" ht="23.25">
      <c r="A246" s="8" t="s">
        <v>214</v>
      </c>
      <c r="B246" s="3"/>
      <c r="C246" s="3"/>
      <c r="D246" s="3"/>
      <c r="E246">
        <f>D246+D246*5%</f>
        <v>0</v>
      </c>
    </row>
    <row r="247" ht="18.75">
      <c r="A247" s="4" t="s">
        <v>215</v>
      </c>
      <c r="B247" s="9">
        <v>150</v>
      </c>
      <c r="C247" s="9"/>
      <c r="D247" s="16">
        <v>252</v>
      </c>
      <c r="E247">
        <f>D247+D247*5%</f>
        <v>264.60000000000002</v>
      </c>
    </row>
    <row r="248" ht="18.75">
      <c r="A248" s="4" t="s">
        <v>216</v>
      </c>
      <c r="B248" s="9">
        <v>100</v>
      </c>
      <c r="C248" s="9"/>
      <c r="D248" s="16">
        <v>198</v>
      </c>
      <c r="E248">
        <f>D248+D248*5%</f>
        <v>207.90000000000001</v>
      </c>
    </row>
    <row r="249" ht="18.75">
      <c r="A249" s="4" t="s">
        <v>217</v>
      </c>
      <c r="B249" s="9">
        <v>150</v>
      </c>
      <c r="C249" s="9"/>
      <c r="D249" s="16">
        <v>390</v>
      </c>
      <c r="E249">
        <f>D249+D249*5%</f>
        <v>409.5</v>
      </c>
    </row>
    <row r="250" ht="18.75">
      <c r="A250" s="4" t="s">
        <v>218</v>
      </c>
      <c r="B250" s="9">
        <v>150</v>
      </c>
      <c r="C250" s="9"/>
      <c r="D250" s="16">
        <v>282</v>
      </c>
      <c r="E250">
        <f>D250+D250*5%</f>
        <v>296.10000000000002</v>
      </c>
    </row>
    <row r="251" ht="18.75">
      <c r="A251" s="4" t="s">
        <v>208</v>
      </c>
      <c r="B251" s="9">
        <v>80</v>
      </c>
      <c r="C251" s="9"/>
      <c r="D251" s="16">
        <v>378</v>
      </c>
      <c r="E251">
        <f>D251+D251*5%</f>
        <v>396.89999999999998</v>
      </c>
    </row>
    <row r="252" ht="18.75">
      <c r="A252" s="4" t="s">
        <v>219</v>
      </c>
      <c r="B252" s="9">
        <v>120</v>
      </c>
      <c r="C252" s="9"/>
      <c r="D252" s="16">
        <v>302</v>
      </c>
      <c r="E252">
        <f>D252+D252*5%</f>
        <v>317.10000000000002</v>
      </c>
    </row>
    <row r="253" ht="18.75">
      <c r="A253" s="4" t="s">
        <v>220</v>
      </c>
      <c r="B253" s="9">
        <v>50</v>
      </c>
      <c r="C253" s="9"/>
      <c r="D253" s="16">
        <v>168</v>
      </c>
      <c r="E253">
        <f>D253+D253*5%</f>
        <v>176.40000000000001</v>
      </c>
    </row>
    <row r="254" ht="18.75">
      <c r="A254" s="4" t="s">
        <v>221</v>
      </c>
      <c r="B254" s="9">
        <v>35</v>
      </c>
      <c r="C254" s="9"/>
      <c r="D254" s="16">
        <v>240</v>
      </c>
      <c r="E254">
        <f>D254+D254*5%</f>
        <v>252</v>
      </c>
    </row>
    <row r="255" ht="18.75">
      <c r="A255" s="4" t="s">
        <v>222</v>
      </c>
      <c r="B255" s="9">
        <v>100</v>
      </c>
      <c r="C255" s="9"/>
      <c r="D255" s="16">
        <v>270</v>
      </c>
      <c r="E255">
        <f>D255+D255*5%</f>
        <v>283.5</v>
      </c>
    </row>
    <row r="256" ht="18.75">
      <c r="A256" s="4" t="s">
        <v>223</v>
      </c>
      <c r="B256" s="9">
        <v>60</v>
      </c>
      <c r="C256" s="9"/>
      <c r="D256" s="16">
        <v>198</v>
      </c>
      <c r="E256">
        <f>D256+D256*5%</f>
        <v>207.90000000000001</v>
      </c>
    </row>
    <row r="257" ht="18.75">
      <c r="A257" s="4" t="s">
        <v>224</v>
      </c>
      <c r="B257" s="9">
        <v>100</v>
      </c>
      <c r="C257" s="9"/>
      <c r="D257" s="16">
        <v>252</v>
      </c>
      <c r="E257">
        <f>D257+D257*5%</f>
        <v>264.60000000000002</v>
      </c>
    </row>
    <row r="258" ht="18.75">
      <c r="A258" s="4" t="s">
        <v>225</v>
      </c>
      <c r="B258" s="9">
        <v>180</v>
      </c>
      <c r="C258" s="9"/>
      <c r="D258" s="16">
        <v>198</v>
      </c>
      <c r="E258">
        <f>D258+D258*5%</f>
        <v>207.90000000000001</v>
      </c>
    </row>
    <row r="259" ht="18.75">
      <c r="A259" s="4" t="s">
        <v>216</v>
      </c>
      <c r="B259" s="9">
        <v>120</v>
      </c>
      <c r="C259" s="9"/>
      <c r="D259" s="16">
        <v>294</v>
      </c>
      <c r="E259">
        <f>D259+D259*5%</f>
        <v>308.69999999999999</v>
      </c>
    </row>
    <row r="260" ht="18.75">
      <c r="A260" s="4" t="s">
        <v>206</v>
      </c>
      <c r="B260" s="9">
        <v>130</v>
      </c>
      <c r="C260" s="9"/>
      <c r="D260" s="16">
        <v>336</v>
      </c>
      <c r="E260">
        <f>D260+D260*5%</f>
        <v>352.80000000000001</v>
      </c>
    </row>
    <row r="261" ht="18.75">
      <c r="A261" s="4" t="s">
        <v>226</v>
      </c>
      <c r="B261" s="9">
        <v>100</v>
      </c>
      <c r="C261" s="9"/>
      <c r="D261" s="16">
        <v>168</v>
      </c>
      <c r="E261">
        <f>D261+D261*5%</f>
        <v>176.40000000000001</v>
      </c>
    </row>
    <row r="262" ht="16.5">
      <c r="A262" s="4"/>
      <c r="B262" s="3"/>
      <c r="C262" s="3"/>
      <c r="D262" s="3"/>
      <c r="E262">
        <f>D262+D262*5%</f>
        <v>0</v>
      </c>
    </row>
    <row r="263" ht="23.25">
      <c r="A263" s="8" t="s">
        <v>227</v>
      </c>
      <c r="B263" s="3"/>
      <c r="C263" s="3"/>
      <c r="D263" s="3"/>
      <c r="E263">
        <f>D263+D263*5%</f>
        <v>0</v>
      </c>
    </row>
    <row r="264" ht="18.75">
      <c r="A264" s="4" t="s">
        <v>228</v>
      </c>
      <c r="B264" s="9">
        <v>220</v>
      </c>
      <c r="C264" s="9"/>
      <c r="D264" s="16">
        <v>1194</v>
      </c>
      <c r="E264">
        <f>D264+D264*5%</f>
        <v>1253.7</v>
      </c>
    </row>
    <row r="265" ht="18.75">
      <c r="A265" s="4" t="s">
        <v>229</v>
      </c>
      <c r="B265" s="9">
        <v>240</v>
      </c>
      <c r="C265" s="9"/>
      <c r="D265" s="16">
        <v>1620</v>
      </c>
      <c r="E265">
        <f>D265+D265*5%</f>
        <v>1701</v>
      </c>
    </row>
    <row r="266" ht="33">
      <c r="A266" s="4" t="s">
        <v>230</v>
      </c>
      <c r="B266" s="9">
        <v>210</v>
      </c>
      <c r="C266" s="9"/>
      <c r="D266" s="16">
        <v>655</v>
      </c>
      <c r="E266">
        <f>D266+D266*5%</f>
        <v>687.75</v>
      </c>
    </row>
    <row r="267" ht="33">
      <c r="A267" s="4" t="s">
        <v>231</v>
      </c>
      <c r="B267" s="9">
        <v>220</v>
      </c>
      <c r="C267" s="9"/>
      <c r="D267" s="16">
        <v>1026</v>
      </c>
      <c r="E267">
        <f>D267+D267*5%</f>
        <v>1077.3</v>
      </c>
    </row>
    <row r="268" ht="33">
      <c r="A268" s="4" t="s">
        <v>232</v>
      </c>
      <c r="B268" s="9">
        <v>220</v>
      </c>
      <c r="C268" s="9"/>
      <c r="D268" s="16">
        <v>1056</v>
      </c>
      <c r="E268">
        <f>D268+D268*5%</f>
        <v>1108.8</v>
      </c>
    </row>
    <row r="269" ht="18.75">
      <c r="A269" s="4" t="s">
        <v>233</v>
      </c>
      <c r="B269" s="9">
        <v>240</v>
      </c>
      <c r="C269" s="9"/>
      <c r="D269" s="16">
        <v>1362</v>
      </c>
      <c r="E269">
        <f>D269+D269*5%</f>
        <v>1430.0999999999999</v>
      </c>
    </row>
    <row r="270" ht="18.75">
      <c r="A270" s="4" t="s">
        <v>234</v>
      </c>
      <c r="B270" s="9">
        <v>280</v>
      </c>
      <c r="C270" s="9"/>
      <c r="D270" s="16">
        <v>1134</v>
      </c>
      <c r="E270">
        <f>D270+D270*5%</f>
        <v>1190.7</v>
      </c>
    </row>
    <row r="271" ht="33">
      <c r="A271" s="4" t="s">
        <v>235</v>
      </c>
      <c r="B271" s="9">
        <v>280</v>
      </c>
      <c r="C271" s="9"/>
      <c r="D271" s="16">
        <v>1134</v>
      </c>
      <c r="E271">
        <f>D271+D271*5%</f>
        <v>1190.7</v>
      </c>
    </row>
    <row r="272" ht="18.75">
      <c r="A272" s="4" t="s">
        <v>236</v>
      </c>
      <c r="B272" s="9">
        <v>220</v>
      </c>
      <c r="C272" s="9"/>
      <c r="D272" s="16">
        <v>1002</v>
      </c>
      <c r="E272">
        <f>D272+D272*5%</f>
        <v>1052.0999999999999</v>
      </c>
    </row>
    <row r="273" ht="18.75">
      <c r="A273" s="4" t="s">
        <v>237</v>
      </c>
      <c r="B273" s="9">
        <v>180</v>
      </c>
      <c r="C273" s="9"/>
      <c r="D273" s="16">
        <v>702</v>
      </c>
      <c r="E273">
        <f>D273+D273*5%</f>
        <v>737.10000000000002</v>
      </c>
    </row>
    <row r="274" ht="33">
      <c r="A274" s="4" t="s">
        <v>238</v>
      </c>
      <c r="B274" s="9">
        <v>280</v>
      </c>
      <c r="C274" s="9"/>
      <c r="D274" s="16">
        <v>1110</v>
      </c>
      <c r="E274">
        <f>D274+D274*5%</f>
        <v>1165.5</v>
      </c>
    </row>
    <row r="275" ht="33">
      <c r="A275" s="4" t="s">
        <v>239</v>
      </c>
      <c r="B275" s="9">
        <v>220</v>
      </c>
      <c r="C275" s="9"/>
      <c r="D275" s="16">
        <v>942</v>
      </c>
      <c r="E275">
        <f>D275+D275*5%</f>
        <v>989.10000000000002</v>
      </c>
    </row>
    <row r="276" ht="33">
      <c r="A276" s="4" t="s">
        <v>240</v>
      </c>
      <c r="B276" s="9">
        <v>320</v>
      </c>
      <c r="C276" s="9"/>
      <c r="D276" s="16">
        <v>924</v>
      </c>
      <c r="E276">
        <f>D276+D276*5%</f>
        <v>970.20000000000005</v>
      </c>
    </row>
    <row r="277" ht="33">
      <c r="A277" s="4" t="s">
        <v>241</v>
      </c>
      <c r="B277" s="9">
        <v>320</v>
      </c>
      <c r="C277" s="9"/>
      <c r="D277" s="16">
        <v>420</v>
      </c>
      <c r="E277">
        <f>D277+D277*5%</f>
        <v>441</v>
      </c>
    </row>
    <row r="278" ht="18.75">
      <c r="A278" s="4" t="s">
        <v>242</v>
      </c>
      <c r="B278" s="9">
        <v>150</v>
      </c>
      <c r="C278" s="9"/>
      <c r="D278" s="16">
        <v>312</v>
      </c>
      <c r="E278">
        <f>D278+D278*5%</f>
        <v>327.60000000000002</v>
      </c>
    </row>
    <row r="279" ht="18.75">
      <c r="A279" s="4" t="s">
        <v>243</v>
      </c>
      <c r="B279" s="9">
        <v>150</v>
      </c>
      <c r="C279" s="9"/>
      <c r="D279" s="16">
        <v>312</v>
      </c>
      <c r="E279">
        <f>D279+D279*5%</f>
        <v>327.60000000000002</v>
      </c>
    </row>
    <row r="280" ht="16.5">
      <c r="A280" s="4"/>
      <c r="B280" s="3"/>
      <c r="C280" s="3"/>
      <c r="D280" s="3"/>
      <c r="E280">
        <f>D280+D280*5%</f>
        <v>0</v>
      </c>
    </row>
    <row r="281" ht="23.25">
      <c r="A281" s="8" t="s">
        <v>244</v>
      </c>
      <c r="B281" s="3"/>
      <c r="C281" s="3"/>
      <c r="D281" s="3"/>
      <c r="E281">
        <f>D281+D281*5%</f>
        <v>0</v>
      </c>
    </row>
    <row r="282" ht="18.75">
      <c r="A282" s="4" t="s">
        <v>245</v>
      </c>
      <c r="B282" s="9">
        <v>220</v>
      </c>
      <c r="C282" s="9"/>
      <c r="D282" s="16">
        <v>2400</v>
      </c>
      <c r="E282">
        <f>D282+D282*5%</f>
        <v>2520</v>
      </c>
    </row>
    <row r="283" ht="18.75">
      <c r="A283" s="4" t="s">
        <v>246</v>
      </c>
      <c r="B283" s="9">
        <v>220</v>
      </c>
      <c r="C283" s="9"/>
      <c r="D283" s="16">
        <v>540</v>
      </c>
      <c r="E283">
        <f>D283+D283*5%</f>
        <v>567</v>
      </c>
    </row>
    <row r="284" ht="18.75">
      <c r="A284" s="4" t="s">
        <v>247</v>
      </c>
      <c r="B284" s="9">
        <v>220</v>
      </c>
      <c r="C284" s="9"/>
      <c r="D284" s="16">
        <v>828</v>
      </c>
      <c r="E284">
        <f>D284+D284*5%</f>
        <v>869.39999999999998</v>
      </c>
    </row>
    <row r="285" ht="18.75">
      <c r="A285" s="4" t="s">
        <v>248</v>
      </c>
      <c r="B285" s="9">
        <v>220</v>
      </c>
      <c r="C285" s="9"/>
      <c r="D285" s="16">
        <v>420</v>
      </c>
      <c r="E285">
        <f>D285+D285*5%</f>
        <v>441</v>
      </c>
    </row>
    <row r="286" ht="33">
      <c r="A286" s="4" t="s">
        <v>249</v>
      </c>
      <c r="B286" s="9">
        <v>230</v>
      </c>
      <c r="C286" s="9"/>
      <c r="D286" s="16">
        <v>594</v>
      </c>
      <c r="E286">
        <f>D286+D286*5%</f>
        <v>623.70000000000005</v>
      </c>
    </row>
    <row r="287" ht="33">
      <c r="A287" s="4" t="s">
        <v>250</v>
      </c>
      <c r="B287" s="9">
        <v>230</v>
      </c>
      <c r="C287" s="9"/>
      <c r="D287" s="16">
        <v>732</v>
      </c>
      <c r="E287">
        <f>D287+D287*5%</f>
        <v>768.60000000000002</v>
      </c>
    </row>
    <row r="288" ht="18.75">
      <c r="A288" s="4" t="s">
        <v>251</v>
      </c>
      <c r="B288" s="9">
        <v>280</v>
      </c>
      <c r="C288" s="9"/>
      <c r="D288" s="16">
        <v>654</v>
      </c>
      <c r="E288">
        <f>D288+D288*5%</f>
        <v>686.70000000000005</v>
      </c>
    </row>
    <row r="289" ht="18.75">
      <c r="A289" s="4" t="s">
        <v>252</v>
      </c>
      <c r="B289" s="9">
        <v>250</v>
      </c>
      <c r="C289" s="9"/>
      <c r="D289" s="16">
        <v>642</v>
      </c>
      <c r="E289">
        <f>D289+D289*5%</f>
        <v>674.10000000000002</v>
      </c>
    </row>
    <row r="290" ht="18.75">
      <c r="A290" s="4" t="s">
        <v>253</v>
      </c>
      <c r="B290" s="9">
        <v>220</v>
      </c>
      <c r="C290" s="9"/>
      <c r="D290" s="16">
        <v>768</v>
      </c>
      <c r="E290">
        <f>D290+D290*5%</f>
        <v>806.39999999999998</v>
      </c>
    </row>
    <row r="291" ht="18.75">
      <c r="A291" s="4" t="s">
        <v>254</v>
      </c>
      <c r="B291" s="9">
        <v>180</v>
      </c>
      <c r="C291" s="9"/>
      <c r="D291" s="16">
        <v>804</v>
      </c>
      <c r="E291">
        <f>D291+D291*5%</f>
        <v>844.20000000000005</v>
      </c>
    </row>
    <row r="292" ht="66">
      <c r="A292" s="4" t="s">
        <v>255</v>
      </c>
      <c r="B292" s="9">
        <v>300</v>
      </c>
      <c r="C292" s="9"/>
      <c r="D292" s="16">
        <v>1428</v>
      </c>
      <c r="E292">
        <f>D292+D292*5%</f>
        <v>1499.4000000000001</v>
      </c>
    </row>
    <row r="293" ht="18.75">
      <c r="A293" s="4" t="s">
        <v>256</v>
      </c>
      <c r="B293" s="9">
        <v>180</v>
      </c>
      <c r="C293" s="9"/>
      <c r="D293" s="16">
        <v>792</v>
      </c>
      <c r="E293">
        <f>D293+D293*5%</f>
        <v>831.60000000000002</v>
      </c>
    </row>
    <row r="294" ht="18.75">
      <c r="A294" s="4" t="s">
        <v>257</v>
      </c>
      <c r="B294" s="9">
        <v>130</v>
      </c>
      <c r="C294" s="9"/>
      <c r="D294" s="16">
        <v>504</v>
      </c>
      <c r="E294">
        <f>D294+D294*5%</f>
        <v>529.20000000000005</v>
      </c>
    </row>
    <row r="295" ht="16.5">
      <c r="A295" s="4"/>
      <c r="B295" s="3"/>
      <c r="C295" s="3"/>
      <c r="D295" s="3"/>
      <c r="E295">
        <f>D295+D295*5%</f>
        <v>0</v>
      </c>
    </row>
    <row r="296" ht="23.25">
      <c r="A296" s="8" t="s">
        <v>258</v>
      </c>
      <c r="B296" s="3"/>
      <c r="C296" s="3"/>
      <c r="D296" s="3"/>
      <c r="E296">
        <f>D296+D296*5%</f>
        <v>0</v>
      </c>
    </row>
    <row r="297" ht="18.75">
      <c r="A297" s="4" t="s">
        <v>259</v>
      </c>
      <c r="B297" s="9">
        <v>155</v>
      </c>
      <c r="C297" s="9"/>
      <c r="D297" s="16">
        <v>876</v>
      </c>
      <c r="E297">
        <f>D297+D297*5%</f>
        <v>919.79999999999995</v>
      </c>
    </row>
    <row r="298" ht="18.75">
      <c r="A298" s="4" t="s">
        <v>260</v>
      </c>
      <c r="B298" s="9">
        <v>100</v>
      </c>
      <c r="C298" s="9"/>
      <c r="D298" s="16">
        <v>324</v>
      </c>
      <c r="E298">
        <f>D298+D298*5%</f>
        <v>340.19999999999999</v>
      </c>
    </row>
    <row r="299" ht="18.75">
      <c r="A299" s="4" t="s">
        <v>261</v>
      </c>
      <c r="B299" s="9">
        <v>100</v>
      </c>
      <c r="C299" s="9"/>
      <c r="D299" s="16">
        <v>252</v>
      </c>
      <c r="E299">
        <f>D299+D299*5%</f>
        <v>264.60000000000002</v>
      </c>
    </row>
    <row r="300" ht="18.75">
      <c r="A300" s="4" t="s">
        <v>262</v>
      </c>
      <c r="B300" s="9">
        <v>350</v>
      </c>
      <c r="C300" s="9"/>
      <c r="D300" s="16">
        <v>978</v>
      </c>
      <c r="E300">
        <f>D300+D300*5%</f>
        <v>1026.9000000000001</v>
      </c>
    </row>
    <row r="301" ht="18.75">
      <c r="A301" s="4" t="s">
        <v>263</v>
      </c>
      <c r="B301" s="9">
        <v>100</v>
      </c>
      <c r="C301" s="9"/>
      <c r="D301" s="16">
        <v>642</v>
      </c>
      <c r="E301">
        <f>D301+D301*5%</f>
        <v>674.10000000000002</v>
      </c>
    </row>
    <row r="302" ht="18.75">
      <c r="A302" s="4" t="s">
        <v>264</v>
      </c>
      <c r="B302" s="9">
        <v>120</v>
      </c>
      <c r="C302" s="9"/>
      <c r="D302" s="16">
        <v>336</v>
      </c>
      <c r="E302">
        <f>D302+D302*5%</f>
        <v>352.80000000000001</v>
      </c>
    </row>
    <row r="303" ht="18.75">
      <c r="A303" s="4" t="s">
        <v>265</v>
      </c>
      <c r="B303" s="9">
        <v>100</v>
      </c>
      <c r="C303" s="9"/>
      <c r="D303" s="16">
        <v>588</v>
      </c>
      <c r="E303">
        <f>D303+D303*5%</f>
        <v>617.39999999999998</v>
      </c>
    </row>
    <row r="304" ht="18.75">
      <c r="A304" s="4" t="s">
        <v>224</v>
      </c>
      <c r="B304" s="9">
        <v>100</v>
      </c>
      <c r="C304" s="9"/>
      <c r="D304" s="16">
        <v>204</v>
      </c>
      <c r="E304">
        <f>D304+D304*5%</f>
        <v>214.19999999999999</v>
      </c>
    </row>
    <row r="305" ht="18.75">
      <c r="A305" s="4" t="s">
        <v>266</v>
      </c>
      <c r="B305" s="9">
        <v>300</v>
      </c>
      <c r="C305" s="9"/>
      <c r="D305" s="16">
        <v>642</v>
      </c>
      <c r="E305">
        <f>D305+D305*5%</f>
        <v>674.10000000000002</v>
      </c>
    </row>
    <row r="306" ht="18.75">
      <c r="A306" s="4" t="s">
        <v>267</v>
      </c>
      <c r="B306" s="9">
        <v>150</v>
      </c>
      <c r="C306" s="9"/>
      <c r="D306" s="16">
        <v>768</v>
      </c>
      <c r="E306">
        <f>D306+D306*5%</f>
        <v>806.39999999999998</v>
      </c>
    </row>
    <row r="307" ht="33">
      <c r="A307" s="4" t="s">
        <v>268</v>
      </c>
      <c r="B307" s="9">
        <v>320</v>
      </c>
      <c r="C307" s="9"/>
      <c r="D307" s="16">
        <v>708</v>
      </c>
      <c r="E307">
        <f>D307+D307*5%</f>
        <v>743.39999999999998</v>
      </c>
    </row>
    <row r="308" ht="16.5">
      <c r="A308" s="4"/>
      <c r="B308" s="3"/>
      <c r="C308" s="3"/>
      <c r="D308" s="3"/>
      <c r="E308">
        <f>D308+D308*5%</f>
        <v>0</v>
      </c>
    </row>
    <row r="309" ht="23.25">
      <c r="A309" s="8" t="s">
        <v>269</v>
      </c>
      <c r="B309" s="3"/>
      <c r="C309" s="3"/>
      <c r="D309" s="3"/>
      <c r="E309">
        <f>D309+D309*5%</f>
        <v>0</v>
      </c>
    </row>
    <row r="310" ht="18.75">
      <c r="A310" s="4" t="s">
        <v>270</v>
      </c>
      <c r="B310" s="9">
        <v>100</v>
      </c>
      <c r="C310" s="9"/>
      <c r="D310" s="16">
        <v>420</v>
      </c>
      <c r="E310">
        <f>D310+D310*5%</f>
        <v>441</v>
      </c>
    </row>
    <row r="311" ht="18.75">
      <c r="A311" s="4" t="s">
        <v>271</v>
      </c>
      <c r="B311" s="9">
        <v>50</v>
      </c>
      <c r="C311" s="9"/>
      <c r="D311" s="16">
        <v>180</v>
      </c>
      <c r="E311">
        <f>D311+D311*5%</f>
        <v>189</v>
      </c>
    </row>
    <row r="312" ht="18.75">
      <c r="A312" s="4" t="s">
        <v>272</v>
      </c>
      <c r="B312" s="9">
        <v>50</v>
      </c>
      <c r="C312" s="9"/>
      <c r="D312" s="16">
        <v>252</v>
      </c>
      <c r="E312">
        <f>D312+D312*5%</f>
        <v>264.60000000000002</v>
      </c>
    </row>
    <row r="313" ht="16.5">
      <c r="A313" s="4"/>
      <c r="B313" s="3"/>
      <c r="C313" s="3"/>
      <c r="D313" s="3"/>
      <c r="E313">
        <f>D313+D313*5%</f>
        <v>0</v>
      </c>
    </row>
    <row r="314" ht="23.25">
      <c r="A314" s="8" t="s">
        <v>273</v>
      </c>
      <c r="B314" s="3"/>
      <c r="C314" s="3"/>
      <c r="D314" s="3"/>
      <c r="E314">
        <f>D314+D314*5%</f>
        <v>0</v>
      </c>
    </row>
    <row r="315" ht="18.75">
      <c r="A315" s="4" t="s">
        <v>274</v>
      </c>
      <c r="B315" s="9">
        <v>100</v>
      </c>
      <c r="C315" s="9"/>
      <c r="D315" s="16">
        <v>186</v>
      </c>
      <c r="E315">
        <f>D315+D315*5%</f>
        <v>195.30000000000001</v>
      </c>
    </row>
    <row r="316" ht="18.75">
      <c r="A316" s="4" t="s">
        <v>275</v>
      </c>
      <c r="B316" s="9">
        <v>100</v>
      </c>
      <c r="C316" s="9"/>
      <c r="D316" s="16">
        <v>252</v>
      </c>
      <c r="E316">
        <f>D316+D316*5%</f>
        <v>264.60000000000002</v>
      </c>
    </row>
    <row r="317" ht="18.75">
      <c r="A317" s="4" t="s">
        <v>276</v>
      </c>
      <c r="B317" s="9">
        <v>330</v>
      </c>
      <c r="C317" s="9"/>
      <c r="D317" s="16">
        <v>378</v>
      </c>
      <c r="E317">
        <f>D317+D317*5%</f>
        <v>396.89999999999998</v>
      </c>
    </row>
    <row r="318" ht="18.75">
      <c r="A318" s="4" t="s">
        <v>277</v>
      </c>
      <c r="B318" s="9">
        <v>330</v>
      </c>
      <c r="C318" s="9"/>
      <c r="D318" s="16">
        <v>302</v>
      </c>
      <c r="E318">
        <f>D318+D318*5%</f>
        <v>317.10000000000002</v>
      </c>
    </row>
    <row r="319" ht="16.5">
      <c r="A319" s="4"/>
      <c r="B319" s="3"/>
      <c r="C319" s="3"/>
      <c r="D319" s="3"/>
      <c r="E319">
        <f>D319+D319*5%</f>
        <v>0</v>
      </c>
    </row>
    <row r="320" ht="23.25">
      <c r="A320" s="8" t="s">
        <v>278</v>
      </c>
      <c r="B320" s="3"/>
      <c r="C320" s="3"/>
      <c r="D320" s="3"/>
      <c r="E320">
        <f>D320+D320*5%</f>
        <v>0</v>
      </c>
    </row>
    <row r="321" ht="49.5">
      <c r="A321" s="4" t="s">
        <v>279</v>
      </c>
      <c r="B321" s="9">
        <v>330</v>
      </c>
      <c r="C321" s="9"/>
      <c r="D321" s="16">
        <v>1002</v>
      </c>
      <c r="E321">
        <f>D321+D321*5%</f>
        <v>1052.0999999999999</v>
      </c>
    </row>
    <row r="322" ht="18.75">
      <c r="A322" s="4" t="s">
        <v>280</v>
      </c>
      <c r="B322" s="9">
        <v>330</v>
      </c>
      <c r="C322" s="9"/>
      <c r="D322" s="16">
        <v>882</v>
      </c>
      <c r="E322">
        <f>D322+D322*5%</f>
        <v>926.10000000000002</v>
      </c>
    </row>
    <row r="323" ht="33">
      <c r="A323" s="4" t="s">
        <v>281</v>
      </c>
      <c r="B323" s="9">
        <v>330</v>
      </c>
      <c r="C323" s="9"/>
      <c r="D323" s="16">
        <v>834</v>
      </c>
      <c r="E323">
        <f>D323+D323*5%</f>
        <v>875.70000000000005</v>
      </c>
    </row>
    <row r="324" ht="33">
      <c r="A324" s="4" t="s">
        <v>282</v>
      </c>
      <c r="B324" s="9">
        <v>330</v>
      </c>
      <c r="C324" s="9"/>
      <c r="D324" s="16">
        <v>750</v>
      </c>
      <c r="E324">
        <f>D324+D324*5%</f>
        <v>787.5</v>
      </c>
    </row>
    <row r="325" ht="33">
      <c r="A325" s="4" t="s">
        <v>283</v>
      </c>
      <c r="B325" s="9">
        <v>330</v>
      </c>
      <c r="C325" s="9"/>
      <c r="D325" s="16">
        <v>696</v>
      </c>
      <c r="E325">
        <f>D325+D325*5%</f>
        <v>730.79999999999995</v>
      </c>
    </row>
    <row r="326" ht="33">
      <c r="A326" s="4" t="s">
        <v>284</v>
      </c>
      <c r="B326" s="9">
        <v>330</v>
      </c>
      <c r="C326" s="9"/>
      <c r="D326" s="16">
        <v>732</v>
      </c>
      <c r="E326">
        <f>D326+D326*5%</f>
        <v>768.60000000000002</v>
      </c>
    </row>
    <row r="327" ht="33">
      <c r="A327" s="4" t="s">
        <v>285</v>
      </c>
      <c r="B327" s="9">
        <v>330</v>
      </c>
      <c r="C327" s="9"/>
      <c r="D327" s="16">
        <v>684</v>
      </c>
      <c r="E327">
        <f>D327+D327*5%</f>
        <v>718.20000000000005</v>
      </c>
    </row>
    <row r="328" ht="18.75">
      <c r="A328" s="4" t="s">
        <v>286</v>
      </c>
      <c r="B328" s="9">
        <v>330</v>
      </c>
      <c r="C328" s="9"/>
      <c r="D328" s="16">
        <v>750</v>
      </c>
      <c r="E328">
        <f>D328+D328*5%</f>
        <v>787.5</v>
      </c>
    </row>
    <row r="329" ht="33">
      <c r="A329" s="4" t="s">
        <v>287</v>
      </c>
      <c r="B329" s="9">
        <v>330</v>
      </c>
      <c r="C329" s="9"/>
      <c r="D329" s="16">
        <v>654</v>
      </c>
      <c r="E329">
        <f>D329+D329*5%</f>
        <v>686.70000000000005</v>
      </c>
    </row>
    <row r="330" ht="33">
      <c r="A330" s="4" t="s">
        <v>288</v>
      </c>
      <c r="B330" s="9">
        <v>330</v>
      </c>
      <c r="C330" s="9"/>
      <c r="D330" s="16">
        <v>900</v>
      </c>
      <c r="E330">
        <f>D330+D330*5%</f>
        <v>945</v>
      </c>
    </row>
    <row r="331" ht="33">
      <c r="A331" s="4" t="s">
        <v>289</v>
      </c>
      <c r="B331" s="9">
        <v>330</v>
      </c>
      <c r="C331" s="9"/>
      <c r="D331" s="16">
        <v>732</v>
      </c>
      <c r="E331">
        <f>D331+D331*5%</f>
        <v>768.60000000000002</v>
      </c>
    </row>
    <row r="332" ht="16.5">
      <c r="A332" s="4"/>
      <c r="B332" s="3"/>
      <c r="C332" s="3"/>
      <c r="D332" s="3"/>
      <c r="E332">
        <f>D332+D332*5%</f>
        <v>0</v>
      </c>
    </row>
    <row r="333" ht="23.25">
      <c r="A333" s="8" t="s">
        <v>290</v>
      </c>
      <c r="B333" s="3"/>
      <c r="C333" s="3"/>
      <c r="D333" s="3"/>
      <c r="E333">
        <f>D333+D333*5%</f>
        <v>0</v>
      </c>
    </row>
    <row r="334" ht="18.75">
      <c r="A334" s="4" t="s">
        <v>291</v>
      </c>
      <c r="B334" s="9">
        <v>40</v>
      </c>
      <c r="C334" s="9"/>
      <c r="D334" s="16">
        <v>162</v>
      </c>
      <c r="E334">
        <f>D334+D334*5%</f>
        <v>170.09999999999999</v>
      </c>
    </row>
    <row r="335" ht="18.75">
      <c r="A335" s="4" t="s">
        <v>292</v>
      </c>
      <c r="B335" s="9">
        <v>50</v>
      </c>
      <c r="C335" s="9"/>
      <c r="D335" s="16">
        <v>168</v>
      </c>
      <c r="E335">
        <f>D335+D335*5%</f>
        <v>176.40000000000001</v>
      </c>
    </row>
    <row r="336" ht="18.75">
      <c r="A336" s="4" t="s">
        <v>293</v>
      </c>
      <c r="B336" s="9">
        <v>40</v>
      </c>
      <c r="C336" s="9"/>
      <c r="D336" s="16">
        <v>156</v>
      </c>
      <c r="E336">
        <f>D336+D336*5%</f>
        <v>163.80000000000001</v>
      </c>
    </row>
    <row r="337" ht="18.75">
      <c r="A337" s="4" t="s">
        <v>294</v>
      </c>
      <c r="B337" s="9">
        <v>40</v>
      </c>
      <c r="C337" s="9"/>
      <c r="D337" s="16">
        <v>156</v>
      </c>
      <c r="E337">
        <f>D337+D337*5%</f>
        <v>163.80000000000001</v>
      </c>
    </row>
    <row r="338" ht="18.75">
      <c r="A338" s="4" t="s">
        <v>295</v>
      </c>
      <c r="B338" s="9">
        <v>40</v>
      </c>
      <c r="C338" s="9"/>
      <c r="D338" s="16">
        <v>156</v>
      </c>
      <c r="E338">
        <f>D338+D338*5%</f>
        <v>163.80000000000001</v>
      </c>
    </row>
    <row r="339" ht="18.75">
      <c r="A339" s="4" t="s">
        <v>296</v>
      </c>
      <c r="B339" s="9">
        <v>40</v>
      </c>
      <c r="C339" s="9"/>
      <c r="D339" s="16">
        <v>168</v>
      </c>
      <c r="E339">
        <f>D339+D339*5%</f>
        <v>176.40000000000001</v>
      </c>
    </row>
    <row r="340" ht="18.75">
      <c r="A340" s="4" t="s">
        <v>297</v>
      </c>
      <c r="B340" s="9">
        <v>40</v>
      </c>
      <c r="C340" s="9"/>
      <c r="D340" s="16">
        <v>168</v>
      </c>
      <c r="E340">
        <f>D340+D340*5%</f>
        <v>176.40000000000001</v>
      </c>
    </row>
    <row r="341" ht="18.75">
      <c r="A341" s="4" t="s">
        <v>298</v>
      </c>
      <c r="B341" s="9">
        <v>25</v>
      </c>
      <c r="C341" s="9"/>
      <c r="D341" s="16">
        <v>102</v>
      </c>
      <c r="E341">
        <f>D341+D341*5%</f>
        <v>107.09999999999999</v>
      </c>
    </row>
    <row r="342" ht="18.75">
      <c r="A342" s="4" t="s">
        <v>299</v>
      </c>
      <c r="B342" s="9">
        <v>25</v>
      </c>
      <c r="C342" s="9"/>
      <c r="D342" s="16">
        <v>90</v>
      </c>
      <c r="E342">
        <f>D342+D342*5%</f>
        <v>94.5</v>
      </c>
    </row>
    <row r="343" ht="18.75">
      <c r="A343" s="4" t="s">
        <v>300</v>
      </c>
      <c r="B343" s="9">
        <v>50</v>
      </c>
      <c r="C343" s="9"/>
      <c r="D343" s="16">
        <v>204</v>
      </c>
      <c r="E343">
        <f>D343+D343*5%</f>
        <v>214.19999999999999</v>
      </c>
    </row>
    <row r="344" ht="18.75">
      <c r="A344" s="4" t="s">
        <v>301</v>
      </c>
      <c r="B344" s="9">
        <v>50</v>
      </c>
      <c r="C344" s="9"/>
      <c r="D344" s="16">
        <v>168</v>
      </c>
      <c r="E344">
        <f>D344+D344*5%</f>
        <v>176.40000000000001</v>
      </c>
    </row>
    <row r="345" ht="18.75">
      <c r="A345" s="4" t="s">
        <v>302</v>
      </c>
      <c r="B345" s="9">
        <v>50</v>
      </c>
      <c r="C345" s="9"/>
      <c r="D345" s="16">
        <v>102</v>
      </c>
      <c r="E345">
        <f>D345+D345*5%</f>
        <v>107.09999999999999</v>
      </c>
    </row>
    <row r="346" ht="18.75">
      <c r="A346" s="4" t="s">
        <v>303</v>
      </c>
      <c r="B346" s="9">
        <v>50</v>
      </c>
      <c r="C346" s="9"/>
      <c r="D346" s="16">
        <v>126</v>
      </c>
      <c r="E346">
        <f>D346+D346*5%</f>
        <v>132.30000000000001</v>
      </c>
    </row>
    <row r="347" ht="18.75">
      <c r="A347" s="4" t="s">
        <v>304</v>
      </c>
      <c r="B347" s="9">
        <v>50</v>
      </c>
      <c r="C347" s="9"/>
      <c r="D347" s="16">
        <v>150</v>
      </c>
      <c r="E347">
        <f>D347+D347*5%</f>
        <v>157.5</v>
      </c>
    </row>
    <row r="348" ht="18.75">
      <c r="A348" s="4" t="s">
        <v>305</v>
      </c>
      <c r="B348" s="9">
        <v>50</v>
      </c>
      <c r="C348" s="9"/>
      <c r="D348" s="16">
        <v>186</v>
      </c>
      <c r="E348">
        <f>D348+D348*5%</f>
        <v>195.30000000000001</v>
      </c>
    </row>
    <row r="349" ht="18.75">
      <c r="A349" s="4" t="s">
        <v>306</v>
      </c>
      <c r="B349" s="9">
        <v>50</v>
      </c>
      <c r="C349" s="9"/>
      <c r="D349" s="16">
        <v>204</v>
      </c>
      <c r="E349">
        <f>D349+D349*5%</f>
        <v>214.19999999999999</v>
      </c>
    </row>
    <row r="350" ht="16.5">
      <c r="A350" s="4" t="s">
        <v>307</v>
      </c>
      <c r="B350" s="9">
        <v>1</v>
      </c>
      <c r="C350" s="9"/>
      <c r="D350" s="3"/>
      <c r="E350">
        <f>D350+D350*5%</f>
        <v>0</v>
      </c>
    </row>
    <row r="351" ht="23.25">
      <c r="A351" s="8" t="s">
        <v>308</v>
      </c>
      <c r="B351" s="3"/>
      <c r="C351" s="3"/>
      <c r="D351" s="3"/>
      <c r="E351">
        <f>D351+D351*5%</f>
        <v>0</v>
      </c>
    </row>
    <row r="352" ht="18.75">
      <c r="A352" s="4" t="s">
        <v>309</v>
      </c>
      <c r="B352" s="9">
        <v>130</v>
      </c>
      <c r="C352" s="9"/>
      <c r="D352" s="16">
        <v>624</v>
      </c>
      <c r="E352">
        <f>D352+D352*5%</f>
        <v>655.20000000000005</v>
      </c>
    </row>
    <row r="353" ht="23.25">
      <c r="A353" s="8" t="s">
        <v>310</v>
      </c>
      <c r="B353" s="3"/>
      <c r="C353" s="3"/>
      <c r="D353" s="3"/>
      <c r="E353">
        <f>D353+D353*5%</f>
        <v>0</v>
      </c>
    </row>
    <row r="354" ht="18.75">
      <c r="A354" s="4" t="s">
        <v>311</v>
      </c>
      <c r="B354" s="9">
        <v>40</v>
      </c>
      <c r="C354" s="9"/>
      <c r="D354" s="16">
        <v>150</v>
      </c>
      <c r="E354">
        <f>D354+D354*5%</f>
        <v>157.5</v>
      </c>
    </row>
    <row r="355" ht="18.75">
      <c r="A355" s="4" t="s">
        <v>312</v>
      </c>
      <c r="B355" s="9">
        <v>40</v>
      </c>
      <c r="C355" s="9"/>
      <c r="D355" s="16">
        <v>168</v>
      </c>
      <c r="E355">
        <f>D355+D355*5%</f>
        <v>176.40000000000001</v>
      </c>
    </row>
    <row r="356" ht="18.75">
      <c r="A356" s="4" t="s">
        <v>313</v>
      </c>
      <c r="B356" s="9">
        <v>40</v>
      </c>
      <c r="C356" s="9"/>
      <c r="D356" s="16">
        <v>150</v>
      </c>
      <c r="E356">
        <f>D356+D356*5%</f>
        <v>157.5</v>
      </c>
    </row>
    <row r="357" ht="18.75">
      <c r="A357" s="4" t="s">
        <v>314</v>
      </c>
      <c r="B357" s="9">
        <v>50</v>
      </c>
      <c r="C357" s="9"/>
      <c r="D357" s="16">
        <v>302</v>
      </c>
      <c r="E357">
        <f>D357+D357*5%</f>
        <v>317.10000000000002</v>
      </c>
    </row>
    <row r="358" ht="18.75">
      <c r="A358" s="4" t="s">
        <v>315</v>
      </c>
      <c r="B358" s="9">
        <v>50</v>
      </c>
      <c r="C358" s="9"/>
      <c r="D358" s="16">
        <v>198</v>
      </c>
      <c r="E358">
        <f>D358+D358*5%</f>
        <v>207.90000000000001</v>
      </c>
    </row>
    <row r="359" ht="18.75">
      <c r="A359" s="4" t="s">
        <v>316</v>
      </c>
      <c r="B359" s="9">
        <v>50</v>
      </c>
      <c r="C359" s="9"/>
      <c r="D359" s="16">
        <v>198</v>
      </c>
      <c r="E359">
        <f>D359+D359*5%</f>
        <v>207.90000000000001</v>
      </c>
    </row>
    <row r="360" ht="33">
      <c r="A360" s="4" t="s">
        <v>317</v>
      </c>
      <c r="B360" s="9">
        <v>50</v>
      </c>
      <c r="C360" s="9"/>
      <c r="D360" s="16">
        <v>252</v>
      </c>
      <c r="E360">
        <f>D360+D360*5%</f>
        <v>264.60000000000002</v>
      </c>
    </row>
    <row r="361" ht="18.75">
      <c r="A361" s="4" t="s">
        <v>318</v>
      </c>
      <c r="B361" s="9">
        <v>50</v>
      </c>
      <c r="C361" s="9"/>
      <c r="D361" s="16">
        <v>222</v>
      </c>
      <c r="E361">
        <f>D361+D361*5%</f>
        <v>233.09999999999999</v>
      </c>
    </row>
    <row r="362" ht="18.75">
      <c r="A362" s="4" t="s">
        <v>319</v>
      </c>
      <c r="B362" s="9">
        <v>35</v>
      </c>
      <c r="C362" s="9"/>
      <c r="D362" s="16">
        <v>168</v>
      </c>
      <c r="E362">
        <f>D362+D362*5%</f>
        <v>176.40000000000001</v>
      </c>
    </row>
    <row r="363" ht="18.75">
      <c r="A363" s="4" t="s">
        <v>320</v>
      </c>
      <c r="B363" s="9">
        <v>35</v>
      </c>
      <c r="C363" s="9"/>
      <c r="D363" s="16">
        <v>222</v>
      </c>
      <c r="E363">
        <f>D363+D363*5%</f>
        <v>233.09999999999999</v>
      </c>
    </row>
    <row r="364" ht="18.75">
      <c r="A364" s="4" t="s">
        <v>321</v>
      </c>
      <c r="B364" s="9">
        <v>30</v>
      </c>
      <c r="C364" s="9"/>
      <c r="D364" s="16">
        <v>108</v>
      </c>
      <c r="E364">
        <f>D364+D364*5%</f>
        <v>113.40000000000001</v>
      </c>
    </row>
    <row r="365" ht="18.75">
      <c r="A365" s="4" t="s">
        <v>322</v>
      </c>
      <c r="B365" s="9">
        <v>350</v>
      </c>
      <c r="C365" s="9"/>
      <c r="D365" s="16">
        <v>2268</v>
      </c>
      <c r="E365">
        <f>D365+D365*5%</f>
        <v>2381.4000000000001</v>
      </c>
    </row>
    <row r="366" ht="18.75">
      <c r="A366" s="4" t="s">
        <v>323</v>
      </c>
      <c r="B366" s="9">
        <v>60</v>
      </c>
      <c r="C366" s="9"/>
      <c r="D366" s="16">
        <v>420</v>
      </c>
      <c r="E366">
        <f>D366+D366*5%</f>
        <v>441</v>
      </c>
    </row>
    <row r="367" ht="18.75">
      <c r="A367" s="4" t="s">
        <v>324</v>
      </c>
      <c r="B367" s="9">
        <v>120</v>
      </c>
      <c r="C367" s="9"/>
      <c r="D367" s="16">
        <v>438</v>
      </c>
      <c r="E367">
        <f>D367+D367*5%</f>
        <v>459.89999999999998</v>
      </c>
    </row>
    <row r="368" ht="18.75">
      <c r="A368" s="4" t="s">
        <v>325</v>
      </c>
      <c r="B368" s="9">
        <v>60</v>
      </c>
      <c r="C368" s="9"/>
      <c r="D368" s="16">
        <v>372</v>
      </c>
      <c r="E368">
        <f>D368+D368*5%</f>
        <v>390.60000000000002</v>
      </c>
    </row>
    <row r="369" ht="33">
      <c r="A369" s="4" t="s">
        <v>326</v>
      </c>
      <c r="B369" s="9">
        <v>1000</v>
      </c>
      <c r="C369" s="9"/>
      <c r="D369" s="16">
        <v>2340</v>
      </c>
      <c r="E369">
        <f>D369+D369*5%</f>
        <v>2457</v>
      </c>
    </row>
    <row r="370" ht="23.25">
      <c r="A370" s="8" t="s">
        <v>327</v>
      </c>
      <c r="B370" s="3"/>
      <c r="C370" s="3"/>
      <c r="D370" s="3"/>
      <c r="E370">
        <f>D370+D370*5%</f>
        <v>0</v>
      </c>
    </row>
    <row r="371" ht="18.75">
      <c r="A371" s="13" t="s">
        <v>328</v>
      </c>
      <c r="B371" s="3"/>
      <c r="C371" s="3"/>
      <c r="D371" s="16">
        <v>3000</v>
      </c>
      <c r="E371">
        <f>D371+D371*5%</f>
        <v>3150</v>
      </c>
    </row>
    <row r="372" ht="16.5">
      <c r="A372" s="4" t="s">
        <v>329</v>
      </c>
      <c r="B372" s="3"/>
      <c r="C372" s="3"/>
      <c r="D372" s="3"/>
      <c r="E372">
        <f>D372+D372*5%</f>
        <v>0</v>
      </c>
    </row>
    <row r="373" ht="16.5">
      <c r="A373" s="4" t="s">
        <v>330</v>
      </c>
      <c r="B373" s="3"/>
      <c r="C373" s="3"/>
      <c r="D373" s="3"/>
      <c r="E373">
        <f>D373+D373*5%</f>
        <v>0</v>
      </c>
    </row>
    <row r="374" ht="16.5">
      <c r="A374" s="4" t="s">
        <v>331</v>
      </c>
      <c r="B374" s="3"/>
      <c r="C374" s="3"/>
      <c r="D374" s="3"/>
      <c r="E374">
        <f>D374+D374*5%</f>
        <v>0</v>
      </c>
    </row>
    <row r="375" ht="16.5">
      <c r="A375" s="4" t="s">
        <v>332</v>
      </c>
      <c r="B375" s="3"/>
      <c r="C375" s="3"/>
      <c r="D375" s="3"/>
      <c r="E375">
        <f>D375+D375*5%</f>
        <v>0</v>
      </c>
    </row>
    <row r="376" ht="16.5">
      <c r="A376" s="4" t="s">
        <v>333</v>
      </c>
      <c r="B376" s="3"/>
      <c r="C376" s="3"/>
      <c r="D376" s="3"/>
      <c r="E376">
        <f>D376+D376*5%</f>
        <v>0</v>
      </c>
    </row>
    <row r="377" ht="16.5">
      <c r="A377" s="4" t="s">
        <v>334</v>
      </c>
      <c r="B377" s="3"/>
      <c r="C377" s="3"/>
      <c r="D377" s="3"/>
      <c r="E377">
        <f>D377+D377*5%</f>
        <v>0</v>
      </c>
    </row>
    <row r="378" ht="16.5">
      <c r="A378" s="4" t="s">
        <v>335</v>
      </c>
      <c r="B378" s="3"/>
      <c r="C378" s="3"/>
      <c r="D378" s="3"/>
      <c r="E378">
        <f>D378+D378*5%</f>
        <v>0</v>
      </c>
    </row>
    <row r="379" ht="16.5">
      <c r="A379" s="4" t="s">
        <v>336</v>
      </c>
      <c r="B379" s="3"/>
      <c r="C379" s="3"/>
      <c r="D379" s="3"/>
      <c r="E379">
        <f>D379+D379*5%</f>
        <v>0</v>
      </c>
    </row>
    <row r="380" ht="16.5">
      <c r="A380" s="4" t="s">
        <v>337</v>
      </c>
      <c r="B380" s="3"/>
      <c r="C380" s="3"/>
      <c r="D380" s="3"/>
      <c r="E380">
        <f>D380+D380*5%</f>
        <v>0</v>
      </c>
    </row>
    <row r="381" ht="16.5">
      <c r="A381" s="4" t="s">
        <v>315</v>
      </c>
      <c r="B381" s="3"/>
      <c r="C381" s="3"/>
      <c r="D381" s="3"/>
      <c r="E381">
        <f>D381+D381*5%</f>
        <v>0</v>
      </c>
    </row>
    <row r="382" ht="16.5">
      <c r="A382" s="4" t="s">
        <v>338</v>
      </c>
      <c r="B382" s="3"/>
      <c r="C382" s="3"/>
      <c r="D382" s="3"/>
      <c r="E382">
        <f>D382+D382*5%</f>
        <v>0</v>
      </c>
    </row>
    <row r="383" ht="16.5">
      <c r="A383" s="4" t="s">
        <v>339</v>
      </c>
      <c r="B383" s="3"/>
      <c r="C383" s="3"/>
      <c r="D383" s="3"/>
      <c r="E383">
        <f>D383+D383*5%</f>
        <v>0</v>
      </c>
    </row>
    <row r="384" ht="16.5">
      <c r="A384" s="4" t="s">
        <v>340</v>
      </c>
      <c r="B384" s="3"/>
      <c r="C384" s="3"/>
      <c r="D384" s="3"/>
      <c r="E384">
        <f>D384+D384*5%</f>
        <v>0</v>
      </c>
    </row>
    <row r="385" ht="16.5">
      <c r="A385" s="13" t="s">
        <v>341</v>
      </c>
      <c r="B385" s="3"/>
      <c r="C385" s="3"/>
      <c r="D385" s="3"/>
      <c r="E385">
        <f>D385+D385*5%</f>
        <v>0</v>
      </c>
    </row>
    <row r="386" ht="16.5">
      <c r="A386" s="4" t="s">
        <v>342</v>
      </c>
      <c r="B386" s="3"/>
      <c r="C386" s="3"/>
      <c r="D386" s="3"/>
      <c r="E386">
        <f>D386+D386*5%</f>
        <v>0</v>
      </c>
    </row>
    <row r="387" ht="16.5">
      <c r="A387" s="4" t="s">
        <v>343</v>
      </c>
      <c r="B387" s="3"/>
      <c r="C387" s="3"/>
      <c r="D387" s="3"/>
      <c r="E387">
        <f>D387+D387*5%</f>
        <v>0</v>
      </c>
    </row>
    <row r="388" ht="16.5">
      <c r="A388" s="4" t="s">
        <v>344</v>
      </c>
      <c r="B388" s="3"/>
      <c r="C388" s="3"/>
      <c r="D388" s="3"/>
      <c r="E388">
        <f>D388+D388*5%</f>
        <v>0</v>
      </c>
    </row>
    <row r="389" ht="16.5">
      <c r="A389" s="4" t="s">
        <v>345</v>
      </c>
      <c r="B389" s="3"/>
      <c r="C389" s="3"/>
      <c r="D389" s="3"/>
      <c r="E389">
        <f>D389+D389*5%</f>
        <v>0</v>
      </c>
    </row>
    <row r="390" ht="16.5">
      <c r="A390" s="4" t="s">
        <v>346</v>
      </c>
      <c r="B390" s="3"/>
      <c r="C390" s="3"/>
      <c r="D390" s="3"/>
      <c r="E390">
        <f>D390+D390*5%</f>
        <v>0</v>
      </c>
    </row>
    <row r="391" ht="16.5">
      <c r="A391" s="4" t="s">
        <v>330</v>
      </c>
      <c r="B391" s="3"/>
      <c r="C391" s="3"/>
      <c r="D391" s="3"/>
      <c r="E391">
        <f>D391+D391*5%</f>
        <v>0</v>
      </c>
    </row>
    <row r="392" ht="16.5">
      <c r="A392" s="4" t="s">
        <v>347</v>
      </c>
      <c r="B392" s="3"/>
      <c r="C392" s="3"/>
      <c r="D392" s="3"/>
      <c r="E392">
        <f>D392+D392*5%</f>
        <v>0</v>
      </c>
    </row>
    <row r="393" ht="16.5">
      <c r="A393" s="4" t="s">
        <v>348</v>
      </c>
      <c r="B393" s="3"/>
      <c r="C393" s="3"/>
      <c r="D393" s="3"/>
      <c r="E393">
        <f>D393+D393*5%</f>
        <v>0</v>
      </c>
    </row>
    <row r="394" ht="16.5">
      <c r="A394" s="4" t="s">
        <v>349</v>
      </c>
      <c r="B394" s="3"/>
      <c r="C394" s="3"/>
      <c r="D394" s="3"/>
      <c r="E394">
        <f>D394+D394*5%</f>
        <v>0</v>
      </c>
    </row>
    <row r="395" ht="16.5">
      <c r="A395" s="4" t="s">
        <v>350</v>
      </c>
      <c r="B395" s="3"/>
      <c r="C395" s="3"/>
      <c r="D395" s="3"/>
      <c r="E395">
        <f>D395+D395*5%</f>
        <v>0</v>
      </c>
    </row>
    <row r="396" ht="16.5">
      <c r="A396" s="13" t="s">
        <v>351</v>
      </c>
      <c r="B396" s="3"/>
      <c r="C396" s="3"/>
      <c r="D396" s="3"/>
      <c r="E396">
        <f>D396+D396*5%</f>
        <v>0</v>
      </c>
    </row>
    <row r="397" ht="18.75">
      <c r="A397" s="4" t="s">
        <v>352</v>
      </c>
      <c r="B397" s="9">
        <v>150</v>
      </c>
      <c r="C397" s="9"/>
      <c r="D397" s="16">
        <v>840</v>
      </c>
      <c r="E397">
        <f>D397+D397*5%</f>
        <v>882</v>
      </c>
      <c r="F397">
        <f>E397/B397*500</f>
        <v>2940</v>
      </c>
      <c r="H397" s="14"/>
    </row>
    <row r="398" ht="18.75">
      <c r="A398" s="4" t="s">
        <v>353</v>
      </c>
      <c r="B398" s="9">
        <v>200</v>
      </c>
      <c r="C398" s="9"/>
      <c r="D398" s="16">
        <v>8400</v>
      </c>
      <c r="E398">
        <f>D398+D398*5%</f>
        <v>8820</v>
      </c>
    </row>
    <row r="399" ht="18.75">
      <c r="A399" s="4" t="s">
        <v>354</v>
      </c>
      <c r="B399" s="9">
        <v>200</v>
      </c>
      <c r="C399" s="9"/>
      <c r="D399" s="16">
        <v>1680</v>
      </c>
      <c r="E399">
        <f>D399+D399*5%</f>
        <v>1764</v>
      </c>
    </row>
    <row r="400" ht="18.75">
      <c r="A400" s="4" t="s">
        <v>355</v>
      </c>
      <c r="B400" s="9">
        <v>1</v>
      </c>
      <c r="C400" s="9"/>
      <c r="D400" s="16">
        <v>1680</v>
      </c>
      <c r="E400">
        <f>D400+D400*5%</f>
        <v>1764</v>
      </c>
    </row>
    <row r="401" ht="18.75">
      <c r="A401" s="4" t="s">
        <v>356</v>
      </c>
      <c r="B401" s="9">
        <v>1</v>
      </c>
      <c r="C401" s="9"/>
      <c r="D401" s="16">
        <v>1680</v>
      </c>
      <c r="E401">
        <f>D401+D401*5%</f>
        <v>1764</v>
      </c>
    </row>
    <row r="402" ht="18.75">
      <c r="A402" s="4" t="s">
        <v>357</v>
      </c>
      <c r="B402" s="9">
        <v>1</v>
      </c>
      <c r="C402" s="9"/>
      <c r="D402" s="16">
        <v>1680</v>
      </c>
      <c r="E402">
        <f>D402+D402*5%</f>
        <v>1764</v>
      </c>
    </row>
    <row r="403" ht="18.75">
      <c r="A403" s="4" t="s">
        <v>358</v>
      </c>
      <c r="B403" s="9">
        <v>1</v>
      </c>
      <c r="C403" s="9"/>
      <c r="D403" s="16">
        <v>840</v>
      </c>
      <c r="E403">
        <f>D403+D403*5%</f>
        <v>882</v>
      </c>
    </row>
    <row r="404" ht="16.5">
      <c r="A404" s="4"/>
      <c r="B404" s="3"/>
      <c r="C404" s="3"/>
      <c r="D404" s="3"/>
      <c r="E404">
        <f>D404+D404*5%</f>
        <v>0</v>
      </c>
    </row>
    <row r="405" ht="23.25">
      <c r="A405" s="8" t="s">
        <v>359</v>
      </c>
      <c r="B405" s="3"/>
      <c r="C405" s="3"/>
      <c r="D405" s="3"/>
      <c r="E405">
        <f>D405+D405*5%</f>
        <v>0</v>
      </c>
    </row>
    <row r="406" ht="18.75">
      <c r="A406" s="4" t="s">
        <v>360</v>
      </c>
      <c r="B406" s="9">
        <v>250</v>
      </c>
      <c r="C406" s="9"/>
      <c r="D406" s="16">
        <v>335</v>
      </c>
      <c r="E406">
        <f>D406+D406*5%</f>
        <v>351.75</v>
      </c>
    </row>
    <row r="407" ht="18.75">
      <c r="A407" s="4" t="s">
        <v>361</v>
      </c>
      <c r="B407" s="9">
        <v>250</v>
      </c>
      <c r="C407" s="9"/>
      <c r="D407" s="16">
        <v>500</v>
      </c>
      <c r="E407">
        <f>D407+D407*5%</f>
        <v>525</v>
      </c>
    </row>
    <row r="408" ht="18.75">
      <c r="A408" s="4" t="s">
        <v>362</v>
      </c>
      <c r="B408" s="9">
        <v>250</v>
      </c>
      <c r="C408" s="9"/>
      <c r="D408" s="16">
        <v>500</v>
      </c>
      <c r="E408">
        <f>D408+D408*5%</f>
        <v>525</v>
      </c>
    </row>
    <row r="409" ht="18.75">
      <c r="A409" s="4" t="s">
        <v>363</v>
      </c>
      <c r="B409" s="9">
        <v>250</v>
      </c>
      <c r="C409" s="9"/>
      <c r="D409" s="16">
        <v>675</v>
      </c>
      <c r="E409">
        <f>D409+D409*5%</f>
        <v>708.75</v>
      </c>
    </row>
    <row r="410" ht="18.75">
      <c r="A410" s="4" t="s">
        <v>364</v>
      </c>
      <c r="B410" s="9">
        <v>150</v>
      </c>
      <c r="C410" s="9"/>
      <c r="D410" s="16">
        <v>420</v>
      </c>
      <c r="E410">
        <f>D410+D410*5%</f>
        <v>441</v>
      </c>
    </row>
    <row r="411" ht="16.5">
      <c r="A411" s="4"/>
      <c r="B411" s="3"/>
      <c r="C411" s="3"/>
      <c r="D411" s="3"/>
      <c r="E411">
        <f>D411+D411*5%</f>
        <v>0</v>
      </c>
    </row>
    <row r="412" ht="23.25">
      <c r="A412" s="8" t="s">
        <v>365</v>
      </c>
      <c r="B412" s="3"/>
      <c r="C412" s="3"/>
      <c r="D412" s="3"/>
      <c r="E412">
        <f>D412+D412*5%</f>
        <v>0</v>
      </c>
    </row>
    <row r="413" ht="18.75">
      <c r="A413" s="4" t="s">
        <v>366</v>
      </c>
      <c r="B413" s="9">
        <v>500</v>
      </c>
      <c r="C413" s="9"/>
      <c r="D413" s="16">
        <v>120</v>
      </c>
      <c r="E413">
        <f>D413+D413*5%</f>
        <v>126</v>
      </c>
    </row>
    <row r="414" ht="18.75">
      <c r="A414" s="4" t="s">
        <v>366</v>
      </c>
      <c r="B414" s="9">
        <v>330</v>
      </c>
      <c r="C414" s="9"/>
      <c r="D414" s="16">
        <v>85</v>
      </c>
      <c r="E414">
        <f>D414+D414*5%</f>
        <v>89.25</v>
      </c>
    </row>
    <row r="415" ht="18.75">
      <c r="A415" s="4" t="s">
        <v>367</v>
      </c>
      <c r="B415" s="9">
        <v>500</v>
      </c>
      <c r="C415" s="9"/>
      <c r="D415" s="16">
        <v>168</v>
      </c>
      <c r="E415">
        <f>D415+D415*5%</f>
        <v>176.40000000000001</v>
      </c>
    </row>
    <row r="416" ht="18.75">
      <c r="A416" s="4" t="s">
        <v>367</v>
      </c>
      <c r="B416" s="9">
        <v>330</v>
      </c>
      <c r="C416" s="9"/>
      <c r="D416" s="16">
        <v>140</v>
      </c>
      <c r="E416">
        <f>D416+D416*5%</f>
        <v>147</v>
      </c>
    </row>
    <row r="417" ht="33">
      <c r="A417" s="4" t="s">
        <v>368</v>
      </c>
      <c r="B417" s="9">
        <v>1000</v>
      </c>
      <c r="C417" s="9"/>
      <c r="D417" s="16">
        <v>910</v>
      </c>
      <c r="E417">
        <f>D417+D417*5%</f>
        <v>955.5</v>
      </c>
    </row>
    <row r="418" ht="18.75">
      <c r="A418" s="4" t="s">
        <v>369</v>
      </c>
      <c r="B418" s="9">
        <v>1000</v>
      </c>
      <c r="C418" s="9"/>
      <c r="D418" s="16">
        <v>770</v>
      </c>
      <c r="E418">
        <f>D418+D418*5%</f>
        <v>808.5</v>
      </c>
    </row>
    <row r="419" ht="18.75">
      <c r="A419" s="4" t="s">
        <v>370</v>
      </c>
      <c r="B419" s="9">
        <v>1000</v>
      </c>
      <c r="C419" s="9"/>
      <c r="D419" s="16">
        <v>770</v>
      </c>
      <c r="E419">
        <f>D419+D419*5%</f>
        <v>808.5</v>
      </c>
    </row>
    <row r="420" ht="18.75">
      <c r="A420" s="4" t="s">
        <v>371</v>
      </c>
      <c r="B420" s="9">
        <v>330</v>
      </c>
      <c r="C420" s="9"/>
      <c r="D420" s="16">
        <v>25</v>
      </c>
      <c r="E420">
        <f>D420+D420*5%</f>
        <v>26.25</v>
      </c>
    </row>
    <row r="421" ht="18.75">
      <c r="A421" s="4" t="s">
        <v>371</v>
      </c>
      <c r="B421" s="9">
        <v>250</v>
      </c>
      <c r="C421" s="9"/>
      <c r="D421" s="16">
        <v>170</v>
      </c>
      <c r="E421">
        <f>D421+D421*5%</f>
        <v>178.5</v>
      </c>
    </row>
    <row r="422" ht="18.75">
      <c r="A422" s="4" t="s">
        <v>372</v>
      </c>
      <c r="B422" s="9">
        <v>330</v>
      </c>
      <c r="C422" s="9"/>
      <c r="D422" s="16">
        <v>225</v>
      </c>
      <c r="E422">
        <f>D422+D422*5%</f>
        <v>236.25</v>
      </c>
    </row>
    <row r="423" ht="18.75">
      <c r="A423" s="4" t="s">
        <v>372</v>
      </c>
      <c r="B423" s="9">
        <v>250</v>
      </c>
      <c r="C423" s="9"/>
      <c r="D423" s="16">
        <v>175</v>
      </c>
      <c r="E423">
        <f>D423+D423*5%</f>
        <v>183.75</v>
      </c>
    </row>
    <row r="424" ht="18.75">
      <c r="A424" s="4" t="s">
        <v>373</v>
      </c>
      <c r="B424" s="9">
        <v>1000</v>
      </c>
      <c r="C424" s="9"/>
      <c r="D424" s="16">
        <v>1400</v>
      </c>
      <c r="E424">
        <f>D424+D424*5%</f>
        <v>1470</v>
      </c>
    </row>
    <row r="425" ht="16.5">
      <c r="A425" s="4"/>
      <c r="B425" s="3"/>
      <c r="C425" s="3"/>
      <c r="D425" s="3"/>
      <c r="E425">
        <f>D425+D425*5%</f>
        <v>0</v>
      </c>
    </row>
    <row r="426" ht="23.25">
      <c r="A426" s="8" t="s">
        <v>374</v>
      </c>
      <c r="B426" s="3"/>
      <c r="C426" s="3"/>
      <c r="D426" s="3"/>
      <c r="E426">
        <f>D426+D426*5%</f>
        <v>0</v>
      </c>
    </row>
    <row r="427" ht="18.75">
      <c r="A427" s="4" t="s">
        <v>375</v>
      </c>
      <c r="B427" s="9">
        <v>220</v>
      </c>
      <c r="C427" s="9"/>
      <c r="D427" s="16">
        <v>115</v>
      </c>
      <c r="E427">
        <f>D427+D427*5%</f>
        <v>120.75</v>
      </c>
    </row>
    <row r="428" ht="18.75">
      <c r="A428" s="4" t="s">
        <v>376</v>
      </c>
      <c r="B428" s="9">
        <v>220</v>
      </c>
      <c r="C428" s="9"/>
      <c r="D428" s="16">
        <v>252</v>
      </c>
      <c r="E428">
        <f>D428+D428*5%</f>
        <v>264.60000000000002</v>
      </c>
    </row>
    <row r="429" ht="18.75">
      <c r="A429" s="4" t="s">
        <v>377</v>
      </c>
      <c r="B429" s="9">
        <v>220</v>
      </c>
      <c r="C429" s="9"/>
      <c r="D429" s="16">
        <v>160</v>
      </c>
      <c r="E429">
        <f>D429+D429*5%</f>
        <v>168</v>
      </c>
    </row>
    <row r="430" ht="16.5">
      <c r="A430" s="4"/>
      <c r="B430" s="3"/>
      <c r="C430" s="3"/>
      <c r="D430" s="3"/>
    </row>
    <row r="431">
      <c r="A431" s="4"/>
      <c r="B431" s="3"/>
      <c r="C431" s="3"/>
      <c r="D431" s="3"/>
    </row>
    <row r="432" ht="17">
      <c r="A432" s="15" t="s">
        <v>378</v>
      </c>
      <c r="B432" s="3"/>
      <c r="C432" s="3"/>
      <c r="D432" s="3"/>
    </row>
    <row r="433" ht="17">
      <c r="A433" s="15" t="s">
        <v>379</v>
      </c>
      <c r="B433" s="3"/>
      <c r="C433" s="3"/>
      <c r="D433" s="3"/>
    </row>
    <row r="434">
      <c r="A434" s="4"/>
      <c r="B434" s="3"/>
      <c r="C434" s="3"/>
      <c r="D434" s="3"/>
    </row>
    <row r="435" ht="17">
      <c r="A435" s="15" t="s">
        <v>380</v>
      </c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 ht="17">
      <c r="A438" s="15" t="s">
        <v>381</v>
      </c>
      <c r="B438" s="3"/>
      <c r="C438" s="3"/>
      <c r="D438" s="3"/>
    </row>
    <row r="439">
      <c r="A439" s="4"/>
      <c r="B439" s="3"/>
      <c r="C439" s="3"/>
      <c r="D439" s="3"/>
    </row>
    <row r="440" ht="17">
      <c r="A440" s="12" t="s">
        <v>382</v>
      </c>
      <c r="B440" s="3"/>
      <c r="C440" s="3"/>
      <c r="D440" s="3"/>
    </row>
    <row r="441" ht="17">
      <c r="A441" s="12" t="s">
        <v>383</v>
      </c>
      <c r="B441" s="3"/>
      <c r="C441" s="3"/>
      <c r="D441" s="3"/>
    </row>
    <row r="442" ht="17">
      <c r="A442" s="12" t="s">
        <v>384</v>
      </c>
      <c r="B442" s="3"/>
      <c r="C442" s="3"/>
      <c r="D442" s="3"/>
    </row>
    <row r="443" ht="17">
      <c r="A443" s="15" t="s">
        <v>385</v>
      </c>
      <c r="B443" s="3"/>
      <c r="C443" s="3"/>
      <c r="D443" s="3"/>
    </row>
    <row r="444" ht="17">
      <c r="A444" s="15" t="s">
        <v>386</v>
      </c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 ht="17">
      <c r="A447" s="15" t="s">
        <v>387</v>
      </c>
      <c r="B447" s="3"/>
      <c r="C447" s="3"/>
      <c r="D447" s="3"/>
    </row>
    <row r="448">
      <c r="A448" s="4"/>
      <c r="B448" s="3"/>
      <c r="C448" s="3"/>
      <c r="D448" s="3"/>
    </row>
    <row r="449" ht="17">
      <c r="A449" s="15" t="s">
        <v>388</v>
      </c>
      <c r="B449" s="3"/>
      <c r="C449" s="3"/>
      <c r="D449" s="3"/>
    </row>
    <row r="450" ht="17">
      <c r="A450" s="15" t="s">
        <v>389</v>
      </c>
      <c r="B450" s="3"/>
      <c r="C450" s="3"/>
      <c r="D450" s="3"/>
    </row>
    <row r="451" ht="17">
      <c r="A451" s="15" t="s">
        <v>390</v>
      </c>
      <c r="B451" s="3"/>
      <c r="C451" s="3"/>
      <c r="D451" s="2"/>
    </row>
    <row r="452">
      <c r="A452" s="4"/>
      <c r="B452" s="3"/>
      <c r="C452" s="3"/>
      <c r="D452" s="2"/>
    </row>
    <row r="453">
      <c r="A453" s="4"/>
      <c r="B453" s="3"/>
      <c r="C453" s="3"/>
      <c r="D453" s="2"/>
    </row>
  </sheetData>
  <mergeCells count="2">
    <mergeCell ref="B2:B3"/>
    <mergeCell ref="D2:D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25" zoomScale="100" workbookViewId="0">
      <selection activeCell="A455" activeCellId="0" sqref="A455"/>
    </sheetView>
  </sheetViews>
  <sheetFormatPr baseColWidth="10" defaultColWidth="10" defaultRowHeight="16.5"/>
  <cols>
    <col customWidth="1" min="1" max="1" width="62.832000000000001"/>
    <col customWidth="1" min="3" max="3" width="11.004"/>
    <col min="4" max="4" style="3" width="11.004"/>
  </cols>
  <sheetData>
    <row r="1" ht="16.5">
      <c r="D1" s="3"/>
    </row>
    <row r="2">
      <c r="A2" s="1"/>
      <c r="B2" s="2"/>
      <c r="C2" s="2"/>
      <c r="D2" s="3"/>
    </row>
    <row r="3">
      <c r="A3" s="3"/>
      <c r="B3" s="2"/>
      <c r="C3" s="2"/>
      <c r="D3" s="3"/>
    </row>
    <row r="4">
      <c r="A4" s="3"/>
      <c r="B4" s="2"/>
      <c r="C4" s="2"/>
      <c r="D4" s="3"/>
    </row>
    <row r="5">
      <c r="A5" s="3"/>
      <c r="B5" s="2"/>
      <c r="C5" s="2"/>
      <c r="D5" s="3"/>
    </row>
    <row r="6">
      <c r="A6" s="3"/>
      <c r="B6" s="2"/>
      <c r="C6" s="2"/>
      <c r="D6" s="3"/>
    </row>
    <row r="7">
      <c r="A7" s="3"/>
      <c r="B7" s="2"/>
      <c r="C7" s="2"/>
      <c r="D7" s="3"/>
    </row>
    <row r="8">
      <c r="A8" s="3"/>
      <c r="B8" s="2"/>
      <c r="C8" s="2"/>
      <c r="D8" s="3"/>
    </row>
    <row r="9">
      <c r="A9" s="3"/>
      <c r="B9" s="2"/>
      <c r="C9" s="2"/>
      <c r="D9" s="3"/>
    </row>
    <row r="10">
      <c r="A10" s="3"/>
      <c r="B10" s="2"/>
      <c r="C10" s="2"/>
      <c r="D10" s="3"/>
    </row>
    <row r="11">
      <c r="A11" s="4"/>
      <c r="B11" s="3"/>
      <c r="C11" s="3"/>
      <c r="D11" s="3"/>
    </row>
    <row r="12" ht="17">
      <c r="A12" s="4"/>
      <c r="B12" s="3"/>
      <c r="C12" s="3"/>
      <c r="D12" s="3"/>
    </row>
    <row r="13" ht="21">
      <c r="A13" s="5" t="s">
        <v>0</v>
      </c>
      <c r="B13" s="6" t="s">
        <v>1</v>
      </c>
      <c r="C13" s="6"/>
      <c r="D13" s="7" t="s">
        <v>391</v>
      </c>
    </row>
    <row r="14" ht="23.25">
      <c r="A14" s="8" t="s">
        <v>3</v>
      </c>
      <c r="B14" s="3"/>
      <c r="C14" s="3"/>
      <c r="D14" s="3"/>
    </row>
    <row r="15" ht="18.75">
      <c r="A15" s="4" t="s">
        <v>4</v>
      </c>
      <c r="B15" s="9">
        <v>250</v>
      </c>
      <c r="C15" s="9"/>
      <c r="D15" s="10">
        <v>141.1764705882353</v>
      </c>
    </row>
    <row r="16" ht="33">
      <c r="A16" s="4" t="s">
        <v>5</v>
      </c>
      <c r="B16" s="9">
        <v>150</v>
      </c>
      <c r="C16" s="9"/>
      <c r="D16" s="10">
        <v>557.64705882352939</v>
      </c>
    </row>
    <row r="17" ht="18.75">
      <c r="A17" s="4" t="s">
        <v>6</v>
      </c>
      <c r="B17" s="9" t="s">
        <v>7</v>
      </c>
      <c r="C17" s="9"/>
      <c r="D17" s="10">
        <v>98.82352941176471</v>
      </c>
    </row>
    <row r="18" ht="18.75">
      <c r="A18" s="4" t="s">
        <v>8</v>
      </c>
      <c r="B18" s="9">
        <v>80</v>
      </c>
      <c r="C18" s="9"/>
      <c r="D18" s="10">
        <v>190.58823529411762</v>
      </c>
    </row>
    <row r="19" ht="18.75">
      <c r="A19" s="4" t="s">
        <v>9</v>
      </c>
      <c r="B19" s="9">
        <v>110</v>
      </c>
      <c r="C19" s="9"/>
      <c r="D19" s="10">
        <v>444.70588235294122</v>
      </c>
    </row>
    <row r="20" ht="18.75">
      <c r="A20" s="4" t="s">
        <v>10</v>
      </c>
      <c r="B20" s="9">
        <v>110</v>
      </c>
      <c r="C20" s="9"/>
      <c r="D20" s="10">
        <v>352.94117647058823</v>
      </c>
    </row>
    <row r="21" ht="18.75">
      <c r="A21" s="4" t="s">
        <v>11</v>
      </c>
      <c r="B21" s="9">
        <v>150</v>
      </c>
      <c r="C21" s="9"/>
      <c r="D21" s="10">
        <v>458.8235294117647</v>
      </c>
    </row>
    <row r="22" ht="18.75">
      <c r="A22" s="4" t="s">
        <v>12</v>
      </c>
      <c r="B22" s="9">
        <v>110</v>
      </c>
      <c r="C22" s="9"/>
      <c r="D22" s="10">
        <v>423.52941176470591</v>
      </c>
    </row>
    <row r="23" ht="18.75">
      <c r="A23" s="4" t="s">
        <v>13</v>
      </c>
      <c r="B23" s="9">
        <v>120</v>
      </c>
      <c r="C23" s="9"/>
      <c r="D23" s="10">
        <v>494.11764705882354</v>
      </c>
    </row>
    <row r="24" ht="18.75">
      <c r="A24" s="4" t="s">
        <v>14</v>
      </c>
      <c r="B24" s="9">
        <v>90</v>
      </c>
      <c r="C24" s="9"/>
      <c r="D24" s="10">
        <v>268.23529411764702</v>
      </c>
    </row>
    <row r="25" ht="18.75">
      <c r="A25" s="4" t="s">
        <v>15</v>
      </c>
      <c r="B25" s="9">
        <v>150</v>
      </c>
      <c r="C25" s="9"/>
      <c r="D25" s="10">
        <v>395.29411764705884</v>
      </c>
    </row>
    <row r="26" ht="18.75">
      <c r="A26" s="4" t="s">
        <v>16</v>
      </c>
      <c r="B26" s="9">
        <v>50</v>
      </c>
      <c r="C26" s="9"/>
      <c r="D26" s="10">
        <v>112.94117647058823</v>
      </c>
    </row>
    <row r="27" ht="18.75">
      <c r="A27" s="4" t="s">
        <v>17</v>
      </c>
      <c r="B27" s="9">
        <v>75</v>
      </c>
      <c r="C27" s="9"/>
      <c r="D27" s="10">
        <v>183.52941176470588</v>
      </c>
    </row>
    <row r="28" ht="18.75">
      <c r="A28" s="4" t="s">
        <v>18</v>
      </c>
      <c r="B28" s="9">
        <v>75</v>
      </c>
      <c r="C28" s="9"/>
      <c r="D28" s="10">
        <v>225.88235294117646</v>
      </c>
    </row>
    <row r="29" ht="23.25">
      <c r="A29" s="8" t="s">
        <v>19</v>
      </c>
      <c r="B29" s="3"/>
      <c r="C29" s="3"/>
      <c r="D29" s="3"/>
    </row>
    <row r="30" ht="18.75">
      <c r="A30" s="4" t="s">
        <v>20</v>
      </c>
      <c r="B30" s="9">
        <v>30</v>
      </c>
      <c r="C30" s="9"/>
      <c r="D30" s="10">
        <v>225.88235294117646</v>
      </c>
    </row>
    <row r="31" ht="18.75">
      <c r="A31" s="4" t="s">
        <v>21</v>
      </c>
      <c r="B31" s="9">
        <v>25</v>
      </c>
      <c r="C31" s="9"/>
      <c r="D31" s="10">
        <v>317.64705882352939</v>
      </c>
    </row>
    <row r="32" ht="18.75">
      <c r="A32" s="4" t="s">
        <v>22</v>
      </c>
      <c r="B32" s="9">
        <v>30</v>
      </c>
      <c r="C32" s="9"/>
      <c r="D32" s="10">
        <v>240</v>
      </c>
    </row>
    <row r="33" ht="18.75">
      <c r="A33" s="4" t="s">
        <v>23</v>
      </c>
      <c r="B33" s="9">
        <v>35</v>
      </c>
      <c r="C33" s="9"/>
      <c r="D33" s="10">
        <v>282.35294117647061</v>
      </c>
    </row>
    <row r="34" ht="18.75">
      <c r="A34" s="4" t="s">
        <v>24</v>
      </c>
      <c r="B34" s="9">
        <v>25</v>
      </c>
      <c r="C34" s="9"/>
      <c r="D34" s="10">
        <v>282.35294117647061</v>
      </c>
    </row>
    <row r="35" ht="18.75">
      <c r="A35" s="4" t="s">
        <v>25</v>
      </c>
      <c r="B35" s="9">
        <v>25</v>
      </c>
      <c r="C35" s="9"/>
      <c r="D35" s="10">
        <v>352.94117647058823</v>
      </c>
    </row>
    <row r="36" ht="18.75">
      <c r="A36" s="4" t="s">
        <v>26</v>
      </c>
      <c r="B36" s="9">
        <v>35</v>
      </c>
      <c r="C36" s="9"/>
      <c r="D36" s="10">
        <v>395.29411764705884</v>
      </c>
    </row>
    <row r="37" ht="18.75">
      <c r="A37" s="4" t="s">
        <v>27</v>
      </c>
      <c r="B37" s="9">
        <v>25</v>
      </c>
      <c r="C37" s="9"/>
      <c r="D37" s="10">
        <v>360</v>
      </c>
    </row>
    <row r="38" ht="18.75">
      <c r="A38" s="4" t="s">
        <v>28</v>
      </c>
      <c r="B38" s="9">
        <v>30</v>
      </c>
      <c r="C38" s="9"/>
      <c r="D38" s="10">
        <v>585.88235294117646</v>
      </c>
    </row>
    <row r="39" ht="18.75">
      <c r="A39" s="4" t="s">
        <v>29</v>
      </c>
      <c r="B39" s="9">
        <v>25</v>
      </c>
      <c r="C39" s="9"/>
      <c r="D39" s="10">
        <v>169.41176470588235</v>
      </c>
    </row>
    <row r="40" ht="18.75">
      <c r="A40" s="4" t="s">
        <v>30</v>
      </c>
      <c r="B40" s="9">
        <v>30</v>
      </c>
      <c r="C40" s="9"/>
      <c r="D40" s="10">
        <v>352.94117647058823</v>
      </c>
    </row>
    <row r="41" ht="18.75">
      <c r="A41" s="4" t="s">
        <v>31</v>
      </c>
      <c r="B41" s="9">
        <v>30</v>
      </c>
      <c r="C41" s="9"/>
      <c r="D41" s="10">
        <v>409.41176470588232</v>
      </c>
    </row>
    <row r="42" ht="18.75">
      <c r="A42" s="4" t="s">
        <v>32</v>
      </c>
      <c r="B42" s="9">
        <v>20</v>
      </c>
      <c r="C42" s="9"/>
      <c r="D42" s="10">
        <v>225.88235294117646</v>
      </c>
    </row>
    <row r="43" ht="18.75">
      <c r="A43" s="4" t="s">
        <v>33</v>
      </c>
      <c r="B43" s="9">
        <v>20</v>
      </c>
      <c r="C43" s="9"/>
      <c r="D43" s="10">
        <v>381.17647058823525</v>
      </c>
    </row>
    <row r="44" ht="18.75">
      <c r="A44" s="4" t="s">
        <v>34</v>
      </c>
      <c r="B44" s="9">
        <v>20</v>
      </c>
      <c r="C44" s="9"/>
      <c r="D44" s="10">
        <v>355.29411764705878</v>
      </c>
    </row>
    <row r="45" ht="18.75">
      <c r="A45" s="4" t="s">
        <v>35</v>
      </c>
      <c r="B45" s="9">
        <v>30</v>
      </c>
      <c r="C45" s="9"/>
      <c r="D45" s="10">
        <v>324.70588235294116</v>
      </c>
    </row>
    <row r="46" ht="18.75">
      <c r="A46" s="4" t="s">
        <v>36</v>
      </c>
      <c r="B46" s="9">
        <v>25</v>
      </c>
      <c r="C46" s="9"/>
      <c r="D46" s="10">
        <v>437.64705882352945</v>
      </c>
    </row>
    <row r="47" ht="18.75">
      <c r="A47" s="4" t="s">
        <v>37</v>
      </c>
      <c r="B47" s="9">
        <v>30</v>
      </c>
      <c r="C47" s="9"/>
      <c r="D47" s="10">
        <v>494.11764705882354</v>
      </c>
    </row>
    <row r="48" ht="18.75">
      <c r="A48" s="4" t="s">
        <v>38</v>
      </c>
      <c r="B48" s="9">
        <v>20</v>
      </c>
      <c r="C48" s="9"/>
      <c r="D48" s="10">
        <v>423.52941176470591</v>
      </c>
    </row>
    <row r="49" ht="18.75">
      <c r="A49" s="4" t="s">
        <v>39</v>
      </c>
      <c r="B49" s="9">
        <v>30</v>
      </c>
      <c r="C49" s="9"/>
      <c r="D49" s="10">
        <v>501.1764705882353</v>
      </c>
    </row>
    <row r="50" ht="18.75">
      <c r="A50" s="4" t="s">
        <v>40</v>
      </c>
      <c r="B50" s="9">
        <v>40</v>
      </c>
      <c r="C50" s="9"/>
      <c r="D50" s="10">
        <v>381.17647058823525</v>
      </c>
    </row>
    <row r="51" ht="18.75">
      <c r="A51" s="4" t="s">
        <v>41</v>
      </c>
      <c r="B51" s="9">
        <v>30</v>
      </c>
      <c r="C51" s="9"/>
      <c r="D51" s="10">
        <v>240</v>
      </c>
    </row>
    <row r="52" ht="18.75">
      <c r="A52" s="4" t="s">
        <v>42</v>
      </c>
      <c r="B52" s="9">
        <v>25</v>
      </c>
      <c r="C52" s="9"/>
      <c r="D52" s="10">
        <v>183.52941176470588</v>
      </c>
    </row>
    <row r="53" ht="18.75">
      <c r="A53" s="4" t="s">
        <v>43</v>
      </c>
      <c r="B53" s="9">
        <v>25</v>
      </c>
      <c r="C53" s="9"/>
      <c r="D53" s="10">
        <v>183.52941176470588</v>
      </c>
    </row>
    <row r="54" ht="18.75">
      <c r="A54" s="4" t="s">
        <v>44</v>
      </c>
      <c r="B54" s="9">
        <v>25</v>
      </c>
      <c r="C54" s="9"/>
      <c r="D54" s="10">
        <v>360</v>
      </c>
    </row>
    <row r="55" ht="18.75">
      <c r="A55" s="4" t="s">
        <v>45</v>
      </c>
      <c r="B55" s="9">
        <v>25</v>
      </c>
      <c r="C55" s="9"/>
      <c r="D55" s="10">
        <v>296.47058823529414</v>
      </c>
    </row>
    <row r="56" ht="18.75">
      <c r="A56" s="4" t="s">
        <v>46</v>
      </c>
      <c r="B56" s="9">
        <v>25</v>
      </c>
      <c r="C56" s="9"/>
      <c r="D56" s="10">
        <v>169.41176470588235</v>
      </c>
    </row>
    <row r="57" ht="18.75">
      <c r="A57" s="4" t="s">
        <v>47</v>
      </c>
      <c r="B57" s="9">
        <v>100</v>
      </c>
      <c r="C57" s="9"/>
      <c r="D57" s="10">
        <v>338.8235294117647</v>
      </c>
    </row>
    <row r="58" ht="18.75">
      <c r="A58" s="4" t="s">
        <v>392</v>
      </c>
      <c r="B58" s="9">
        <v>25</v>
      </c>
      <c r="C58" s="9"/>
      <c r="D58" s="10">
        <v>317.64705882352939</v>
      </c>
    </row>
    <row r="59" ht="18.75">
      <c r="A59" s="4" t="s">
        <v>49</v>
      </c>
      <c r="B59" s="9">
        <v>25</v>
      </c>
      <c r="C59" s="9"/>
      <c r="D59" s="10">
        <v>162.35294117647058</v>
      </c>
    </row>
    <row r="60" ht="18.75">
      <c r="A60" s="4" t="s">
        <v>50</v>
      </c>
      <c r="B60" s="9">
        <v>40</v>
      </c>
      <c r="C60" s="9"/>
      <c r="D60" s="10">
        <v>240</v>
      </c>
    </row>
    <row r="61" ht="18.75">
      <c r="A61" s="4" t="s">
        <v>51</v>
      </c>
      <c r="B61" s="9">
        <v>35</v>
      </c>
      <c r="C61" s="9"/>
      <c r="D61" s="10">
        <v>338.8235294117647</v>
      </c>
    </row>
    <row r="62" ht="18.75">
      <c r="A62" s="4" t="s">
        <v>52</v>
      </c>
      <c r="B62" s="9">
        <v>30</v>
      </c>
      <c r="C62" s="9"/>
      <c r="D62" s="10">
        <v>310.58823529411768</v>
      </c>
    </row>
    <row r="63" ht="18.75">
      <c r="A63" s="4" t="s">
        <v>53</v>
      </c>
      <c r="B63" s="9">
        <v>30</v>
      </c>
      <c r="C63" s="9"/>
      <c r="D63" s="10">
        <v>240</v>
      </c>
    </row>
    <row r="64" ht="18.75">
      <c r="A64" s="4" t="s">
        <v>54</v>
      </c>
      <c r="B64" s="9">
        <v>25</v>
      </c>
      <c r="C64" s="9"/>
      <c r="D64" s="10">
        <v>395.29411764705884</v>
      </c>
    </row>
    <row r="65" ht="21">
      <c r="A65" s="4" t="s">
        <v>55</v>
      </c>
      <c r="B65" s="9">
        <v>20</v>
      </c>
      <c r="C65" s="9"/>
      <c r="D65" s="10">
        <v>169.41176470588235</v>
      </c>
    </row>
    <row r="66" ht="33">
      <c r="A66" s="4" t="s">
        <v>56</v>
      </c>
      <c r="B66" s="9">
        <v>30</v>
      </c>
      <c r="C66" s="9"/>
      <c r="D66" s="10">
        <v>261.1764705882353</v>
      </c>
    </row>
    <row r="67" ht="33">
      <c r="A67" s="4" t="s">
        <v>57</v>
      </c>
      <c r="B67" s="9">
        <v>30</v>
      </c>
      <c r="C67" s="9"/>
      <c r="D67" s="10">
        <v>324.70588235294116</v>
      </c>
    </row>
    <row r="68" ht="21">
      <c r="A68" s="4" t="s">
        <v>58</v>
      </c>
      <c r="B68" s="9">
        <v>25</v>
      </c>
      <c r="C68" s="9"/>
      <c r="D68" s="10">
        <v>338.8235294117647</v>
      </c>
    </row>
    <row r="69" ht="21">
      <c r="A69" s="4" t="s">
        <v>59</v>
      </c>
      <c r="B69" s="9">
        <v>25</v>
      </c>
      <c r="C69" s="9"/>
      <c r="D69" s="10">
        <v>296.47058823529414</v>
      </c>
    </row>
    <row r="70" ht="21">
      <c r="A70" s="4" t="s">
        <v>60</v>
      </c>
      <c r="B70" s="9">
        <v>25</v>
      </c>
      <c r="C70" s="9"/>
      <c r="D70" s="10">
        <v>296.47058823529414</v>
      </c>
    </row>
    <row r="71" ht="21">
      <c r="A71" s="4" t="s">
        <v>61</v>
      </c>
      <c r="B71" s="9">
        <v>30</v>
      </c>
      <c r="C71" s="9"/>
      <c r="D71" s="10">
        <v>324.70588235294116</v>
      </c>
    </row>
    <row r="72" ht="21">
      <c r="A72" s="4" t="s">
        <v>62</v>
      </c>
      <c r="B72" s="9">
        <v>30</v>
      </c>
      <c r="C72" s="9"/>
      <c r="D72" s="10">
        <v>324.70588235294116</v>
      </c>
    </row>
    <row r="73" ht="21">
      <c r="A73" s="4" t="s">
        <v>63</v>
      </c>
      <c r="B73" s="9">
        <v>25</v>
      </c>
      <c r="C73" s="9"/>
      <c r="D73" s="10">
        <v>275.29411764705884</v>
      </c>
    </row>
    <row r="74">
      <c r="A74" s="4"/>
      <c r="B74" s="3"/>
      <c r="C74" s="3"/>
      <c r="D74" s="3"/>
    </row>
    <row r="75" ht="23.25">
      <c r="A75" s="8" t="s">
        <v>64</v>
      </c>
      <c r="B75" s="3"/>
      <c r="C75" s="3"/>
      <c r="D75" s="3"/>
    </row>
    <row r="76" ht="21">
      <c r="A76" s="4" t="s">
        <v>65</v>
      </c>
      <c r="B76" s="9">
        <v>37</v>
      </c>
      <c r="C76" s="9"/>
      <c r="D76" s="10">
        <v>240</v>
      </c>
    </row>
    <row r="77" ht="21">
      <c r="A77" s="4" t="s">
        <v>66</v>
      </c>
      <c r="B77" s="9">
        <v>30</v>
      </c>
      <c r="C77" s="9"/>
      <c r="D77" s="10">
        <v>338.8235294117647</v>
      </c>
    </row>
    <row r="78" ht="21">
      <c r="A78" s="4" t="s">
        <v>67</v>
      </c>
      <c r="B78" s="9">
        <v>30</v>
      </c>
      <c r="C78" s="9"/>
      <c r="D78" s="10">
        <v>254.11764705882351</v>
      </c>
    </row>
    <row r="79" ht="21">
      <c r="A79" s="4" t="s">
        <v>68</v>
      </c>
      <c r="B79" s="9">
        <v>30</v>
      </c>
      <c r="C79" s="9"/>
      <c r="D79" s="10">
        <v>402.35294117647061</v>
      </c>
    </row>
    <row r="80" ht="21">
      <c r="A80" s="4" t="s">
        <v>69</v>
      </c>
      <c r="B80" s="9">
        <v>37</v>
      </c>
      <c r="C80" s="9"/>
      <c r="D80" s="10">
        <v>352.94117647058823</v>
      </c>
    </row>
    <row r="81" ht="21">
      <c r="A81" s="4" t="s">
        <v>70</v>
      </c>
      <c r="B81" s="9">
        <v>37</v>
      </c>
      <c r="C81" s="9"/>
      <c r="D81" s="10">
        <v>275.29411764705884</v>
      </c>
    </row>
    <row r="82" ht="21">
      <c r="A82" s="4" t="s">
        <v>71</v>
      </c>
      <c r="B82" s="9">
        <v>37</v>
      </c>
      <c r="C82" s="9"/>
      <c r="D82" s="10">
        <v>296.47058823529414</v>
      </c>
    </row>
    <row r="83">
      <c r="A83" s="4"/>
      <c r="B83" s="3"/>
      <c r="C83" s="3"/>
      <c r="D83" s="3"/>
    </row>
    <row r="84" ht="23.25">
      <c r="A84" s="8" t="s">
        <v>72</v>
      </c>
      <c r="B84" s="3"/>
      <c r="C84" s="3"/>
      <c r="D84" s="3"/>
    </row>
    <row r="85" ht="21">
      <c r="A85" s="4" t="s">
        <v>73</v>
      </c>
      <c r="B85" s="9">
        <v>50</v>
      </c>
      <c r="C85" s="9"/>
      <c r="D85" s="10">
        <v>352.94117647058823</v>
      </c>
    </row>
    <row r="86" ht="21">
      <c r="A86" s="4" t="s">
        <v>74</v>
      </c>
      <c r="B86" s="9">
        <v>50</v>
      </c>
      <c r="C86" s="9"/>
      <c r="D86" s="10">
        <v>416.47058823529414</v>
      </c>
    </row>
    <row r="87" ht="21">
      <c r="A87" s="4" t="s">
        <v>75</v>
      </c>
      <c r="B87" s="9">
        <v>50</v>
      </c>
      <c r="C87" s="9"/>
      <c r="D87" s="10">
        <v>437.64705882352945</v>
      </c>
    </row>
    <row r="88" ht="21">
      <c r="A88" s="4" t="s">
        <v>76</v>
      </c>
      <c r="B88" s="9">
        <v>50</v>
      </c>
      <c r="C88" s="9"/>
      <c r="D88" s="10">
        <v>324.70588235294116</v>
      </c>
    </row>
    <row r="89" ht="21">
      <c r="A89" s="4" t="s">
        <v>77</v>
      </c>
      <c r="B89" s="9">
        <v>50</v>
      </c>
      <c r="C89" s="9"/>
      <c r="D89" s="10">
        <v>381.17647058823525</v>
      </c>
    </row>
    <row r="90" ht="21">
      <c r="A90" s="4" t="s">
        <v>78</v>
      </c>
      <c r="B90" s="9">
        <v>50</v>
      </c>
      <c r="C90" s="9"/>
      <c r="D90" s="10">
        <v>310.58823529411768</v>
      </c>
    </row>
    <row r="91">
      <c r="A91" s="4"/>
      <c r="B91" s="3"/>
      <c r="C91" s="3"/>
      <c r="D91" s="3"/>
    </row>
    <row r="92" ht="46.5">
      <c r="A92" s="8" t="s">
        <v>79</v>
      </c>
      <c r="B92" s="3"/>
      <c r="C92" s="3"/>
      <c r="D92" s="3"/>
    </row>
    <row r="93" ht="21">
      <c r="A93" s="4" t="s">
        <v>80</v>
      </c>
      <c r="B93" s="9">
        <v>35</v>
      </c>
      <c r="C93" s="9"/>
      <c r="D93" s="10">
        <v>218.82352941176472</v>
      </c>
    </row>
    <row r="94" ht="21">
      <c r="A94" s="4" t="s">
        <v>81</v>
      </c>
      <c r="B94" s="9">
        <v>35</v>
      </c>
      <c r="C94" s="9"/>
      <c r="D94" s="10">
        <v>275.29411764705884</v>
      </c>
    </row>
    <row r="95" ht="21">
      <c r="A95" s="4" t="s">
        <v>82</v>
      </c>
      <c r="B95" s="9">
        <v>35</v>
      </c>
      <c r="C95" s="9"/>
      <c r="D95" s="10">
        <v>218.82352941176472</v>
      </c>
    </row>
    <row r="96" ht="21">
      <c r="A96" s="4" t="s">
        <v>83</v>
      </c>
      <c r="B96" s="9">
        <v>35</v>
      </c>
      <c r="C96" s="9"/>
      <c r="D96" s="10">
        <v>197.64705882352942</v>
      </c>
    </row>
    <row r="97" ht="21">
      <c r="A97" s="4" t="s">
        <v>84</v>
      </c>
      <c r="B97" s="9">
        <v>35</v>
      </c>
      <c r="C97" s="9"/>
      <c r="D97" s="10">
        <v>197.64705882352942</v>
      </c>
    </row>
    <row r="98">
      <c r="A98" s="4"/>
      <c r="B98" s="3"/>
      <c r="C98" s="3"/>
      <c r="D98" s="9"/>
    </row>
    <row r="99" ht="23.25">
      <c r="A99" s="8" t="s">
        <v>85</v>
      </c>
      <c r="B99" s="3"/>
      <c r="C99" s="3"/>
      <c r="D99" s="3"/>
    </row>
    <row r="100" ht="21">
      <c r="A100" s="4" t="s">
        <v>86</v>
      </c>
      <c r="B100" s="9">
        <v>25</v>
      </c>
      <c r="C100" s="9"/>
      <c r="D100" s="10">
        <v>218.82352941176472</v>
      </c>
    </row>
    <row r="101" ht="21">
      <c r="A101" s="4" t="s">
        <v>87</v>
      </c>
      <c r="B101" s="9">
        <v>25</v>
      </c>
      <c r="C101" s="9"/>
      <c r="D101" s="10">
        <v>218.82352941176472</v>
      </c>
    </row>
    <row r="102" ht="21">
      <c r="A102" s="4" t="s">
        <v>88</v>
      </c>
      <c r="B102" s="9">
        <v>25</v>
      </c>
      <c r="C102" s="9"/>
      <c r="D102" s="10">
        <v>197.64705882352942</v>
      </c>
    </row>
    <row r="103" ht="21">
      <c r="A103" s="4" t="s">
        <v>89</v>
      </c>
      <c r="B103" s="9">
        <v>25</v>
      </c>
      <c r="C103" s="9"/>
      <c r="D103" s="10">
        <v>197.64705882352942</v>
      </c>
    </row>
    <row r="104">
      <c r="A104" s="4"/>
      <c r="B104" s="3"/>
      <c r="C104" s="3"/>
      <c r="D104" s="3"/>
    </row>
    <row r="105" ht="23.25">
      <c r="A105" s="8" t="s">
        <v>90</v>
      </c>
      <c r="B105" s="3"/>
      <c r="C105" s="3"/>
      <c r="D105" s="3"/>
    </row>
    <row r="106" ht="21">
      <c r="A106" s="4" t="s">
        <v>91</v>
      </c>
      <c r="B106" s="9">
        <v>30</v>
      </c>
      <c r="C106" s="9"/>
      <c r="D106" s="10">
        <v>310.58823529411768</v>
      </c>
    </row>
    <row r="107" ht="21">
      <c r="A107" s="4" t="s">
        <v>92</v>
      </c>
      <c r="B107" s="9">
        <v>30</v>
      </c>
      <c r="C107" s="9"/>
      <c r="D107" s="10">
        <v>310.58823529411768</v>
      </c>
    </row>
    <row r="108" ht="21">
      <c r="A108" s="4" t="s">
        <v>93</v>
      </c>
      <c r="B108" s="9">
        <v>35</v>
      </c>
      <c r="C108" s="9"/>
      <c r="D108" s="10">
        <v>494.11764705882354</v>
      </c>
    </row>
    <row r="109" ht="21">
      <c r="A109" s="4" t="s">
        <v>94</v>
      </c>
      <c r="B109" s="9">
        <v>35</v>
      </c>
      <c r="C109" s="9"/>
      <c r="D109" s="10">
        <v>381.17647058823525</v>
      </c>
    </row>
    <row r="110" ht="21">
      <c r="A110" s="4" t="s">
        <v>95</v>
      </c>
      <c r="B110" s="9">
        <v>35</v>
      </c>
      <c r="C110" s="9"/>
      <c r="D110" s="10">
        <v>508.23529411764702</v>
      </c>
    </row>
    <row r="111" ht="21">
      <c r="A111" s="4" t="s">
        <v>96</v>
      </c>
      <c r="B111" s="9">
        <v>35</v>
      </c>
      <c r="C111" s="9"/>
      <c r="D111" s="10">
        <v>494.11764705882354</v>
      </c>
    </row>
    <row r="112" ht="21">
      <c r="A112" s="4" t="s">
        <v>97</v>
      </c>
      <c r="B112" s="9">
        <v>30</v>
      </c>
      <c r="C112" s="9"/>
      <c r="D112" s="10">
        <v>487.05882352941171</v>
      </c>
    </row>
    <row r="113" ht="21">
      <c r="A113" s="4" t="s">
        <v>98</v>
      </c>
      <c r="B113" s="9">
        <v>35</v>
      </c>
      <c r="C113" s="9"/>
      <c r="D113" s="10">
        <v>451.76470588235293</v>
      </c>
    </row>
    <row r="114" ht="21">
      <c r="A114" s="4" t="s">
        <v>99</v>
      </c>
      <c r="B114" s="9">
        <v>30</v>
      </c>
      <c r="C114" s="9"/>
      <c r="D114" s="10">
        <v>296.47058823529414</v>
      </c>
    </row>
    <row r="115" ht="21">
      <c r="A115" s="4" t="s">
        <v>100</v>
      </c>
      <c r="B115" s="9">
        <v>35</v>
      </c>
      <c r="C115" s="9"/>
      <c r="D115" s="10">
        <v>296.47058823529414</v>
      </c>
    </row>
    <row r="116" ht="21">
      <c r="A116" s="4" t="s">
        <v>101</v>
      </c>
      <c r="B116" s="9">
        <v>35</v>
      </c>
      <c r="C116" s="9"/>
      <c r="D116" s="10">
        <v>296.47058823529414</v>
      </c>
    </row>
    <row r="117" ht="21">
      <c r="A117" s="4" t="s">
        <v>102</v>
      </c>
      <c r="B117" s="9">
        <v>35</v>
      </c>
      <c r="C117" s="9"/>
      <c r="D117" s="10">
        <v>317.64705882352939</v>
      </c>
    </row>
    <row r="118" ht="21">
      <c r="A118" s="4" t="s">
        <v>103</v>
      </c>
      <c r="B118" s="9">
        <v>35</v>
      </c>
      <c r="C118" s="9"/>
      <c r="D118" s="10">
        <v>317.64705882352939</v>
      </c>
    </row>
    <row r="119" ht="21">
      <c r="A119" s="4" t="s">
        <v>104</v>
      </c>
      <c r="B119" s="9">
        <v>35</v>
      </c>
      <c r="C119" s="9"/>
      <c r="D119" s="10">
        <v>211.76470588235296</v>
      </c>
    </row>
    <row r="120" ht="21">
      <c r="A120" s="4" t="s">
        <v>105</v>
      </c>
      <c r="B120" s="9">
        <v>30</v>
      </c>
      <c r="C120" s="9"/>
      <c r="D120" s="10">
        <v>268.23529411764702</v>
      </c>
    </row>
    <row r="121">
      <c r="A121" s="4"/>
      <c r="B121" s="3"/>
      <c r="C121" s="3"/>
      <c r="D121" s="3"/>
    </row>
    <row r="122" ht="23.25">
      <c r="A122" s="8" t="s">
        <v>106</v>
      </c>
      <c r="B122" s="3"/>
      <c r="C122" s="3"/>
      <c r="D122" s="3"/>
    </row>
    <row r="123" ht="21">
      <c r="A123" s="4" t="s">
        <v>107</v>
      </c>
      <c r="B123" s="9">
        <v>50</v>
      </c>
      <c r="C123" s="9"/>
      <c r="D123" s="10">
        <v>367.05882352941177</v>
      </c>
    </row>
    <row r="124" ht="21">
      <c r="A124" s="4" t="s">
        <v>108</v>
      </c>
      <c r="B124" s="9">
        <v>50</v>
      </c>
      <c r="C124" s="9"/>
      <c r="D124" s="10">
        <v>416.47058823529414</v>
      </c>
    </row>
    <row r="125" ht="21">
      <c r="A125" s="4" t="s">
        <v>96</v>
      </c>
      <c r="B125" s="9">
        <v>50</v>
      </c>
      <c r="C125" s="9"/>
      <c r="D125" s="10">
        <v>416.47058823529414</v>
      </c>
    </row>
    <row r="126" ht="21">
      <c r="A126" s="4" t="s">
        <v>109</v>
      </c>
      <c r="B126" s="9">
        <v>50</v>
      </c>
      <c r="C126" s="9"/>
      <c r="D126" s="10">
        <v>395.29411764705884</v>
      </c>
    </row>
    <row r="127" ht="21">
      <c r="A127" s="4" t="s">
        <v>110</v>
      </c>
      <c r="B127" s="9">
        <v>50</v>
      </c>
      <c r="C127" s="9"/>
      <c r="D127" s="10">
        <v>360</v>
      </c>
    </row>
    <row r="128" ht="21">
      <c r="A128" s="4" t="s">
        <v>111</v>
      </c>
      <c r="B128" s="9">
        <v>50</v>
      </c>
      <c r="C128" s="9"/>
      <c r="D128" s="10">
        <v>324.70588235294116</v>
      </c>
    </row>
    <row r="129" ht="21">
      <c r="A129" s="4" t="s">
        <v>112</v>
      </c>
      <c r="B129" s="9">
        <v>50</v>
      </c>
      <c r="C129" s="9"/>
      <c r="D129" s="10">
        <v>268.23529411764702</v>
      </c>
    </row>
    <row r="130" ht="21">
      <c r="A130" s="4" t="s">
        <v>113</v>
      </c>
      <c r="B130" s="9">
        <v>50</v>
      </c>
      <c r="C130" s="9"/>
      <c r="D130" s="10">
        <v>240</v>
      </c>
    </row>
    <row r="131" ht="21">
      <c r="A131" s="4" t="s">
        <v>114</v>
      </c>
      <c r="B131" s="9">
        <v>50</v>
      </c>
      <c r="C131" s="9"/>
      <c r="D131" s="10">
        <v>275.29411764705884</v>
      </c>
    </row>
    <row r="132" ht="21">
      <c r="A132" s="4" t="s">
        <v>115</v>
      </c>
      <c r="B132" s="9">
        <v>50</v>
      </c>
      <c r="C132" s="9"/>
      <c r="D132" s="10">
        <v>345.88235294117646</v>
      </c>
    </row>
    <row r="133" ht="21">
      <c r="A133" s="4" t="s">
        <v>116</v>
      </c>
      <c r="B133" s="9">
        <v>50</v>
      </c>
      <c r="C133" s="9"/>
      <c r="D133" s="10">
        <v>331.76470588235298</v>
      </c>
    </row>
    <row r="134">
      <c r="A134" s="4"/>
      <c r="B134" s="3"/>
      <c r="C134" s="3"/>
      <c r="D134" s="3"/>
    </row>
    <row r="135" ht="25">
      <c r="A135" s="8" t="s">
        <v>117</v>
      </c>
      <c r="B135" s="3"/>
      <c r="C135" s="3"/>
      <c r="D135" s="3"/>
    </row>
    <row r="136" ht="21">
      <c r="A136" s="4" t="s">
        <v>118</v>
      </c>
      <c r="B136" s="9">
        <v>50</v>
      </c>
      <c r="C136" s="9"/>
      <c r="D136" s="10">
        <v>296.47058823529414</v>
      </c>
    </row>
    <row r="137" ht="21">
      <c r="A137" s="4" t="s">
        <v>119</v>
      </c>
      <c r="B137" s="9">
        <v>50</v>
      </c>
      <c r="C137" s="9"/>
      <c r="D137" s="10">
        <v>296.47058823529414</v>
      </c>
    </row>
    <row r="138" ht="21">
      <c r="A138" s="4" t="s">
        <v>120</v>
      </c>
      <c r="B138" s="9">
        <v>50</v>
      </c>
      <c r="C138" s="9"/>
      <c r="D138" s="10">
        <v>317.64705882352939</v>
      </c>
    </row>
    <row r="139" ht="21">
      <c r="A139" s="4" t="s">
        <v>121</v>
      </c>
      <c r="B139" s="9">
        <v>50</v>
      </c>
      <c r="C139" s="9"/>
      <c r="D139" s="10">
        <v>261.1764705882353</v>
      </c>
    </row>
    <row r="140">
      <c r="A140" s="4"/>
      <c r="B140" s="3"/>
      <c r="C140" s="3"/>
      <c r="D140" s="3"/>
    </row>
    <row r="141" ht="25">
      <c r="A141" s="8" t="s">
        <v>122</v>
      </c>
      <c r="B141" s="3"/>
      <c r="C141" s="3"/>
      <c r="D141" s="3"/>
    </row>
    <row r="142" ht="21">
      <c r="A142" s="4" t="s">
        <v>123</v>
      </c>
      <c r="B142" s="9">
        <v>50</v>
      </c>
      <c r="C142" s="9"/>
      <c r="D142" s="10">
        <v>158.8235294117647</v>
      </c>
    </row>
    <row r="143" ht="21">
      <c r="A143" s="4" t="s">
        <v>124</v>
      </c>
      <c r="B143" s="9">
        <v>50</v>
      </c>
      <c r="C143" s="9"/>
      <c r="D143" s="10">
        <v>158.8235294117647</v>
      </c>
    </row>
    <row r="144" ht="21">
      <c r="A144" s="4" t="s">
        <v>125</v>
      </c>
      <c r="B144" s="9">
        <v>50</v>
      </c>
      <c r="C144" s="9"/>
      <c r="D144" s="10">
        <v>222.35294117647061</v>
      </c>
    </row>
    <row r="145" ht="21">
      <c r="A145" s="4" t="s">
        <v>126</v>
      </c>
      <c r="B145" s="9">
        <v>50</v>
      </c>
      <c r="C145" s="9"/>
      <c r="D145" s="10">
        <v>158.8235294117647</v>
      </c>
    </row>
    <row r="146">
      <c r="A146" s="4"/>
      <c r="B146" s="3"/>
      <c r="C146" s="3"/>
      <c r="D146" s="3"/>
    </row>
    <row r="147" ht="25">
      <c r="A147" s="8" t="s">
        <v>127</v>
      </c>
      <c r="B147" s="3"/>
      <c r="C147" s="3"/>
      <c r="D147" s="3"/>
    </row>
    <row r="148" ht="21">
      <c r="A148" s="4" t="s">
        <v>128</v>
      </c>
      <c r="B148" s="9">
        <v>40</v>
      </c>
      <c r="C148" s="9"/>
      <c r="D148" s="10">
        <v>261.1764705882353</v>
      </c>
    </row>
    <row r="149" ht="21">
      <c r="A149" s="4" t="s">
        <v>129</v>
      </c>
      <c r="B149" s="9">
        <v>40</v>
      </c>
      <c r="C149" s="9"/>
      <c r="D149" s="10">
        <v>218.82352941176472</v>
      </c>
    </row>
    <row r="150" ht="34">
      <c r="A150" s="4" t="s">
        <v>130</v>
      </c>
      <c r="B150" s="9">
        <v>40</v>
      </c>
      <c r="C150" s="9"/>
      <c r="D150" s="10">
        <v>240</v>
      </c>
    </row>
    <row r="151" ht="21">
      <c r="A151" s="4" t="s">
        <v>131</v>
      </c>
      <c r="B151" s="9">
        <v>40</v>
      </c>
      <c r="C151" s="9"/>
      <c r="D151" s="10">
        <v>240</v>
      </c>
    </row>
    <row r="152">
      <c r="A152" s="4"/>
      <c r="B152" s="3"/>
      <c r="C152" s="3"/>
      <c r="D152" s="3"/>
    </row>
    <row r="153" ht="25">
      <c r="A153" s="8" t="s">
        <v>132</v>
      </c>
      <c r="B153" s="3"/>
      <c r="C153" s="3"/>
      <c r="D153" s="3"/>
    </row>
    <row r="154" ht="21">
      <c r="A154" s="4" t="s">
        <v>133</v>
      </c>
      <c r="B154" s="11">
        <v>250</v>
      </c>
      <c r="C154" s="11"/>
      <c r="D154" s="10">
        <v>1334.1176470588236</v>
      </c>
    </row>
    <row r="155" ht="34">
      <c r="A155" s="4" t="s">
        <v>134</v>
      </c>
      <c r="B155" s="11">
        <v>250</v>
      </c>
      <c r="C155" s="11"/>
      <c r="D155" s="10">
        <v>2336.4705882352941</v>
      </c>
    </row>
    <row r="156" ht="34">
      <c r="A156" s="4" t="s">
        <v>135</v>
      </c>
      <c r="B156" s="11">
        <v>400</v>
      </c>
      <c r="C156" s="11"/>
      <c r="D156" s="10">
        <v>2272.9411764705883</v>
      </c>
    </row>
    <row r="157" ht="21">
      <c r="A157" s="4" t="s">
        <v>136</v>
      </c>
      <c r="B157" s="11">
        <v>400</v>
      </c>
      <c r="C157" s="11"/>
      <c r="D157" s="10">
        <v>2039.9999999999998</v>
      </c>
    </row>
    <row r="158" ht="34">
      <c r="A158" s="4" t="s">
        <v>137</v>
      </c>
      <c r="B158" s="11">
        <v>450</v>
      </c>
      <c r="C158" s="11"/>
      <c r="D158" s="10">
        <v>1552.9411764705883</v>
      </c>
    </row>
    <row r="159" ht="34">
      <c r="A159" s="4" t="s">
        <v>138</v>
      </c>
      <c r="B159" s="11">
        <v>450</v>
      </c>
      <c r="C159" s="11"/>
      <c r="D159" s="10">
        <v>2188.2352941176473</v>
      </c>
    </row>
    <row r="160" ht="51">
      <c r="A160" s="4" t="s">
        <v>139</v>
      </c>
      <c r="B160" s="11">
        <v>100</v>
      </c>
      <c r="C160" s="11"/>
      <c r="D160" s="10">
        <v>840</v>
      </c>
    </row>
    <row r="161" ht="34">
      <c r="A161" s="4" t="s">
        <v>140</v>
      </c>
      <c r="B161" s="11">
        <v>250</v>
      </c>
      <c r="C161" s="11"/>
      <c r="D161" s="10">
        <v>889.41176470588243</v>
      </c>
    </row>
    <row r="162" ht="34">
      <c r="A162" s="4" t="s">
        <v>141</v>
      </c>
      <c r="B162" s="9">
        <v>80</v>
      </c>
      <c r="C162" s="9"/>
      <c r="D162" s="10">
        <v>592.94117647058829</v>
      </c>
    </row>
    <row r="163">
      <c r="A163" s="4"/>
      <c r="B163" s="3"/>
      <c r="C163" s="3"/>
      <c r="D163" s="3"/>
    </row>
    <row r="164" ht="25">
      <c r="A164" s="8" t="s">
        <v>142</v>
      </c>
      <c r="B164" s="3"/>
      <c r="C164" s="3"/>
      <c r="D164" s="3"/>
    </row>
    <row r="165" ht="21">
      <c r="A165" s="4" t="s">
        <v>143</v>
      </c>
      <c r="B165" s="9">
        <v>60</v>
      </c>
      <c r="C165" s="9"/>
      <c r="D165" s="10">
        <v>355.29411764705878</v>
      </c>
    </row>
    <row r="166" ht="21">
      <c r="A166" s="4" t="s">
        <v>144</v>
      </c>
      <c r="B166" s="9">
        <v>60</v>
      </c>
      <c r="C166" s="9"/>
      <c r="D166" s="10">
        <v>355.29411764705878</v>
      </c>
    </row>
    <row r="167" ht="21">
      <c r="A167" s="4" t="s">
        <v>145</v>
      </c>
      <c r="B167" s="9">
        <v>60</v>
      </c>
      <c r="C167" s="9"/>
      <c r="D167" s="10">
        <v>470.58823529411768</v>
      </c>
    </row>
    <row r="168" ht="34">
      <c r="A168" s="4" t="s">
        <v>146</v>
      </c>
      <c r="B168" s="9">
        <v>60</v>
      </c>
      <c r="C168" s="9"/>
      <c r="D168" s="10">
        <v>470.58823529411768</v>
      </c>
    </row>
    <row r="169" ht="21">
      <c r="A169" s="4" t="s">
        <v>147</v>
      </c>
      <c r="B169" s="9">
        <v>60</v>
      </c>
      <c r="C169" s="9"/>
      <c r="D169" s="10">
        <v>397.64705882352939</v>
      </c>
    </row>
    <row r="170" ht="21">
      <c r="A170" s="4" t="s">
        <v>148</v>
      </c>
      <c r="B170" s="9">
        <v>60</v>
      </c>
      <c r="C170" s="9"/>
      <c r="D170" s="10">
        <v>397.64705882352939</v>
      </c>
    </row>
    <row r="171" ht="34">
      <c r="A171" s="4" t="s">
        <v>149</v>
      </c>
      <c r="B171" s="9">
        <v>60</v>
      </c>
      <c r="C171" s="9"/>
      <c r="D171" s="10">
        <v>454.11764705882354</v>
      </c>
    </row>
    <row r="172">
      <c r="A172" s="4"/>
      <c r="B172" s="3"/>
      <c r="C172" s="3"/>
      <c r="D172" s="3"/>
    </row>
    <row r="173" ht="25">
      <c r="A173" s="8" t="s">
        <v>150</v>
      </c>
      <c r="B173" s="3"/>
      <c r="C173" s="3"/>
      <c r="D173" s="3"/>
    </row>
    <row r="174" ht="21">
      <c r="A174" s="4" t="s">
        <v>143</v>
      </c>
      <c r="B174" s="9">
        <v>150</v>
      </c>
      <c r="C174" s="9"/>
      <c r="D174" s="10">
        <v>889.41176470588243</v>
      </c>
    </row>
    <row r="175" ht="21">
      <c r="A175" s="4" t="s">
        <v>144</v>
      </c>
      <c r="B175" s="9">
        <v>150</v>
      </c>
      <c r="C175" s="9"/>
      <c r="D175" s="10">
        <v>889.41176470588243</v>
      </c>
    </row>
    <row r="176" ht="34">
      <c r="A176" s="4" t="s">
        <v>151</v>
      </c>
      <c r="B176" s="9">
        <v>150</v>
      </c>
      <c r="C176" s="9"/>
      <c r="D176" s="10">
        <v>903.52941176470586</v>
      </c>
    </row>
    <row r="177" ht="21">
      <c r="A177" s="4" t="s">
        <v>152</v>
      </c>
      <c r="B177" s="9">
        <v>150</v>
      </c>
      <c r="C177" s="9"/>
      <c r="D177" s="10">
        <v>981.17647058823536</v>
      </c>
    </row>
    <row r="178" ht="34">
      <c r="A178" s="4" t="s">
        <v>153</v>
      </c>
      <c r="B178" s="9">
        <v>150</v>
      </c>
      <c r="C178" s="9"/>
      <c r="D178" s="10">
        <v>861.17647058823525</v>
      </c>
    </row>
    <row r="179" ht="34">
      <c r="A179" s="4" t="s">
        <v>154</v>
      </c>
      <c r="B179" s="9">
        <v>150</v>
      </c>
      <c r="C179" s="9"/>
      <c r="D179" s="10">
        <v>825.88235294117658</v>
      </c>
    </row>
    <row r="180" ht="34">
      <c r="A180" s="4" t="s">
        <v>155</v>
      </c>
      <c r="B180" s="9">
        <v>150</v>
      </c>
      <c r="C180" s="9"/>
      <c r="D180" s="10">
        <v>938.82352941176475</v>
      </c>
    </row>
    <row r="181" ht="34">
      <c r="A181" s="4" t="s">
        <v>156</v>
      </c>
      <c r="B181" s="9">
        <v>150</v>
      </c>
      <c r="C181" s="9"/>
      <c r="D181" s="10">
        <v>741.17647058823536</v>
      </c>
    </row>
    <row r="182" ht="34">
      <c r="A182" s="4" t="s">
        <v>157</v>
      </c>
      <c r="B182" s="9">
        <v>150</v>
      </c>
      <c r="C182" s="9"/>
      <c r="D182" s="10">
        <v>818.82352941176464</v>
      </c>
    </row>
    <row r="183" ht="34">
      <c r="A183" s="4" t="s">
        <v>158</v>
      </c>
      <c r="B183" s="9">
        <v>150</v>
      </c>
      <c r="C183" s="9"/>
      <c r="D183" s="10">
        <v>656.47058823529414</v>
      </c>
    </row>
    <row r="184" ht="21">
      <c r="A184" s="4" t="s">
        <v>159</v>
      </c>
      <c r="B184" s="9">
        <v>150</v>
      </c>
      <c r="C184" s="9"/>
      <c r="D184" s="10">
        <v>811.76470588235293</v>
      </c>
    </row>
    <row r="185" ht="34">
      <c r="A185" s="4" t="s">
        <v>160</v>
      </c>
      <c r="B185" s="9">
        <v>150</v>
      </c>
      <c r="C185" s="9"/>
      <c r="D185" s="10">
        <v>830.58823529411768</v>
      </c>
    </row>
    <row r="186" ht="21">
      <c r="A186" s="4" t="s">
        <v>161</v>
      </c>
      <c r="B186" s="9">
        <v>150</v>
      </c>
      <c r="C186" s="9"/>
      <c r="D186" s="10">
        <v>762.35294117647049</v>
      </c>
    </row>
    <row r="187" ht="34">
      <c r="A187" s="4" t="s">
        <v>162</v>
      </c>
      <c r="B187" s="9">
        <v>150</v>
      </c>
      <c r="C187" s="9"/>
      <c r="D187" s="10">
        <v>691.76470588235293</v>
      </c>
    </row>
    <row r="188" ht="34">
      <c r="A188" s="4" t="s">
        <v>163</v>
      </c>
      <c r="B188" s="9">
        <v>150</v>
      </c>
      <c r="C188" s="9"/>
      <c r="D188" s="10">
        <v>917.64705882352939</v>
      </c>
    </row>
    <row r="189" ht="34">
      <c r="A189" s="4" t="s">
        <v>164</v>
      </c>
      <c r="B189" s="9">
        <v>150</v>
      </c>
      <c r="C189" s="9"/>
      <c r="D189" s="10">
        <v>755.29411764705878</v>
      </c>
    </row>
    <row r="190" ht="34">
      <c r="A190" s="4" t="s">
        <v>165</v>
      </c>
      <c r="B190" s="9">
        <v>150</v>
      </c>
      <c r="C190" s="9"/>
      <c r="D190" s="10">
        <v>734.11764705882354</v>
      </c>
    </row>
    <row r="191" ht="34">
      <c r="A191" s="4" t="s">
        <v>166</v>
      </c>
      <c r="B191" s="9">
        <v>150</v>
      </c>
      <c r="C191" s="9"/>
      <c r="D191" s="10">
        <v>691.76470588235293</v>
      </c>
    </row>
    <row r="192" ht="34">
      <c r="A192" s="4" t="s">
        <v>167</v>
      </c>
      <c r="B192" s="9">
        <v>150</v>
      </c>
      <c r="C192" s="9"/>
      <c r="D192" s="10">
        <v>830.58823529411768</v>
      </c>
    </row>
    <row r="193" ht="21">
      <c r="A193" s="4" t="s">
        <v>168</v>
      </c>
      <c r="B193" s="9">
        <v>150</v>
      </c>
      <c r="C193" s="9"/>
      <c r="D193" s="10">
        <v>830.58823529411768</v>
      </c>
    </row>
    <row r="194">
      <c r="A194" s="4"/>
      <c r="B194" s="3"/>
      <c r="C194" s="3"/>
      <c r="D194" s="3"/>
    </row>
    <row r="195" ht="25">
      <c r="A195" s="8" t="s">
        <v>169</v>
      </c>
      <c r="B195" s="3"/>
      <c r="C195" s="3"/>
      <c r="D195" s="3"/>
    </row>
    <row r="196" ht="21">
      <c r="A196" s="4" t="s">
        <v>170</v>
      </c>
      <c r="B196" s="9">
        <v>25</v>
      </c>
      <c r="C196" s="9"/>
      <c r="D196" s="10">
        <v>218.82352941176472</v>
      </c>
    </row>
    <row r="197" ht="21">
      <c r="A197" s="4" t="s">
        <v>171</v>
      </c>
      <c r="B197" s="9">
        <v>30</v>
      </c>
      <c r="C197" s="9"/>
      <c r="D197" s="10">
        <v>225.88235294117646</v>
      </c>
    </row>
    <row r="198" ht="21">
      <c r="A198" s="4" t="s">
        <v>172</v>
      </c>
      <c r="B198" s="9">
        <v>150</v>
      </c>
      <c r="C198" s="9"/>
      <c r="D198" s="10">
        <v>355.29411764705878</v>
      </c>
    </row>
    <row r="199">
      <c r="A199" s="4"/>
      <c r="B199" s="3"/>
      <c r="C199" s="3"/>
      <c r="D199" s="3"/>
    </row>
    <row r="200" ht="25">
      <c r="A200" s="8" t="s">
        <v>173</v>
      </c>
      <c r="B200" s="3"/>
      <c r="C200" s="3"/>
      <c r="D200" s="3"/>
    </row>
    <row r="201" ht="21">
      <c r="A201" s="4" t="s">
        <v>174</v>
      </c>
      <c r="B201" s="9">
        <v>50</v>
      </c>
      <c r="C201" s="9"/>
      <c r="D201" s="10">
        <v>211.76470588235296</v>
      </c>
    </row>
    <row r="202" ht="21">
      <c r="A202" s="4" t="s">
        <v>175</v>
      </c>
      <c r="B202" s="9">
        <v>50</v>
      </c>
      <c r="C202" s="9"/>
      <c r="D202" s="10">
        <v>211.76470588235296</v>
      </c>
    </row>
    <row r="203" ht="21">
      <c r="A203" s="4" t="s">
        <v>176</v>
      </c>
      <c r="B203" s="9">
        <v>50</v>
      </c>
      <c r="C203" s="9"/>
      <c r="D203" s="10">
        <v>211.76470588235296</v>
      </c>
    </row>
    <row r="204" ht="21">
      <c r="A204" s="4" t="s">
        <v>177</v>
      </c>
      <c r="B204" s="9">
        <v>50</v>
      </c>
      <c r="C204" s="9"/>
      <c r="D204" s="10">
        <v>211.76470588235296</v>
      </c>
    </row>
    <row r="205">
      <c r="A205" s="4"/>
      <c r="B205" s="3"/>
      <c r="C205" s="3"/>
      <c r="D205" s="3"/>
    </row>
    <row r="206" ht="25">
      <c r="A206" s="8" t="s">
        <v>178</v>
      </c>
      <c r="B206" s="3"/>
      <c r="C206" s="3"/>
      <c r="D206" s="3"/>
    </row>
    <row r="207" ht="21">
      <c r="A207" s="4" t="s">
        <v>179</v>
      </c>
      <c r="B207" s="9">
        <v>250</v>
      </c>
      <c r="C207" s="9"/>
      <c r="D207" s="10">
        <v>578.82352941176464</v>
      </c>
    </row>
    <row r="208" ht="21">
      <c r="A208" s="4" t="s">
        <v>180</v>
      </c>
      <c r="B208" s="9">
        <v>250</v>
      </c>
      <c r="C208" s="9"/>
      <c r="D208" s="10">
        <v>550.58823529411768</v>
      </c>
    </row>
    <row r="209" ht="21">
      <c r="A209" s="4" t="s">
        <v>181</v>
      </c>
      <c r="B209" s="9">
        <v>250</v>
      </c>
      <c r="C209" s="9"/>
      <c r="D209" s="10">
        <v>437.64705882352945</v>
      </c>
    </row>
    <row r="210" ht="21">
      <c r="A210" s="4" t="s">
        <v>182</v>
      </c>
      <c r="B210" s="9">
        <v>250</v>
      </c>
      <c r="C210" s="9"/>
      <c r="D210" s="10">
        <v>465.88235294117652</v>
      </c>
    </row>
    <row r="211" ht="21">
      <c r="A211" s="4" t="s">
        <v>183</v>
      </c>
      <c r="B211" s="9">
        <v>250</v>
      </c>
      <c r="C211" s="9"/>
      <c r="D211" s="10">
        <v>592.94117647058829</v>
      </c>
    </row>
    <row r="212" ht="21">
      <c r="A212" s="4" t="s">
        <v>184</v>
      </c>
      <c r="B212" s="9">
        <v>250</v>
      </c>
      <c r="C212" s="9"/>
      <c r="D212" s="10">
        <v>416.47058823529414</v>
      </c>
    </row>
    <row r="213" ht="21">
      <c r="A213" s="4" t="s">
        <v>185</v>
      </c>
      <c r="B213" s="9">
        <v>250</v>
      </c>
      <c r="C213" s="9"/>
      <c r="D213" s="10">
        <v>494.11764705882354</v>
      </c>
    </row>
    <row r="214" ht="21">
      <c r="A214" s="4" t="s">
        <v>186</v>
      </c>
      <c r="B214" s="9">
        <v>250</v>
      </c>
      <c r="C214" s="9"/>
      <c r="D214" s="10">
        <v>917.64705882352939</v>
      </c>
    </row>
    <row r="215" ht="21">
      <c r="A215" s="4" t="s">
        <v>187</v>
      </c>
      <c r="B215" s="9">
        <v>250</v>
      </c>
      <c r="C215" s="9"/>
      <c r="D215" s="10">
        <v>677.64705882352939</v>
      </c>
    </row>
    <row r="216">
      <c r="A216" s="4"/>
      <c r="B216" s="3"/>
      <c r="C216" s="3"/>
      <c r="D216" s="3"/>
    </row>
    <row r="217" ht="25">
      <c r="A217" s="8" t="s">
        <v>188</v>
      </c>
      <c r="B217" s="3"/>
      <c r="C217" s="3"/>
      <c r="D217" s="3"/>
    </row>
    <row r="218" ht="21">
      <c r="A218" s="12" t="s">
        <v>189</v>
      </c>
      <c r="B218" s="9">
        <v>180</v>
      </c>
      <c r="C218" s="9"/>
      <c r="D218" s="10">
        <v>889.41176470588243</v>
      </c>
    </row>
    <row r="219" ht="21">
      <c r="A219" s="12" t="s">
        <v>190</v>
      </c>
      <c r="B219" s="9">
        <v>180</v>
      </c>
      <c r="C219" s="9"/>
      <c r="D219" s="10">
        <v>889.41176470588243</v>
      </c>
    </row>
    <row r="220" ht="21">
      <c r="A220" s="12" t="s">
        <v>191</v>
      </c>
      <c r="B220" s="11">
        <v>100</v>
      </c>
      <c r="C220" s="11"/>
      <c r="D220" s="10">
        <v>769.41176470588232</v>
      </c>
    </row>
    <row r="221">
      <c r="A221" s="4"/>
      <c r="B221" s="4"/>
      <c r="C221" s="4"/>
      <c r="D221" s="3"/>
    </row>
    <row r="222" ht="25">
      <c r="A222" s="8" t="s">
        <v>192</v>
      </c>
      <c r="B222" s="3"/>
      <c r="C222" s="3"/>
      <c r="D222" s="3"/>
    </row>
    <row r="223" ht="21">
      <c r="A223" s="4" t="s">
        <v>193</v>
      </c>
      <c r="B223" s="9">
        <v>60</v>
      </c>
      <c r="C223" s="9"/>
      <c r="D223" s="10">
        <v>571.76470588235293</v>
      </c>
    </row>
    <row r="224" ht="21">
      <c r="A224" s="4" t="s">
        <v>194</v>
      </c>
      <c r="B224" s="9">
        <v>60</v>
      </c>
      <c r="C224" s="9"/>
      <c r="D224" s="10">
        <v>571.76470588235293</v>
      </c>
    </row>
    <row r="225" ht="21">
      <c r="A225" s="4" t="s">
        <v>195</v>
      </c>
      <c r="B225" s="9">
        <v>60</v>
      </c>
      <c r="C225" s="9"/>
      <c r="D225" s="10">
        <v>487.05882352941171</v>
      </c>
    </row>
    <row r="226" ht="21">
      <c r="A226" s="4" t="s">
        <v>196</v>
      </c>
      <c r="B226" s="9">
        <v>60</v>
      </c>
      <c r="C226" s="9"/>
      <c r="D226" s="10">
        <v>663.52941176470597</v>
      </c>
    </row>
    <row r="227" ht="21">
      <c r="A227" s="4" t="s">
        <v>197</v>
      </c>
      <c r="B227" s="9">
        <v>35</v>
      </c>
      <c r="C227" s="9"/>
      <c r="D227" s="10">
        <v>355.29411764705878</v>
      </c>
    </row>
    <row r="228" ht="21">
      <c r="A228" s="4" t="s">
        <v>198</v>
      </c>
      <c r="B228" s="9">
        <v>45</v>
      </c>
      <c r="C228" s="9"/>
      <c r="D228" s="10">
        <v>317.64705882352939</v>
      </c>
    </row>
    <row r="229" ht="21">
      <c r="A229" s="4" t="s">
        <v>199</v>
      </c>
      <c r="B229" s="9">
        <v>90</v>
      </c>
      <c r="C229" s="9"/>
      <c r="D229" s="10">
        <v>355.29411764705878</v>
      </c>
    </row>
    <row r="230" ht="21">
      <c r="A230" s="4" t="s">
        <v>200</v>
      </c>
      <c r="B230" s="9">
        <v>45</v>
      </c>
      <c r="C230" s="9"/>
      <c r="D230" s="10">
        <v>197.64705882352942</v>
      </c>
    </row>
    <row r="231" ht="21">
      <c r="A231" s="4" t="s">
        <v>201</v>
      </c>
      <c r="B231" s="9">
        <v>35</v>
      </c>
      <c r="C231" s="9"/>
      <c r="D231" s="10">
        <v>451.76470588235293</v>
      </c>
    </row>
    <row r="232" ht="21">
      <c r="A232" s="4" t="s">
        <v>202</v>
      </c>
      <c r="B232" s="9">
        <v>60</v>
      </c>
      <c r="C232" s="9"/>
      <c r="D232" s="10">
        <v>698.82352941176475</v>
      </c>
    </row>
    <row r="233" ht="21">
      <c r="A233" s="4" t="s">
        <v>203</v>
      </c>
      <c r="B233" s="9">
        <v>30</v>
      </c>
      <c r="C233" s="9"/>
      <c r="D233" s="10">
        <v>317.64705882352939</v>
      </c>
    </row>
    <row r="234" ht="21">
      <c r="A234" s="4" t="s">
        <v>204</v>
      </c>
      <c r="B234" s="9">
        <v>60</v>
      </c>
      <c r="C234" s="9"/>
      <c r="D234" s="10">
        <v>585.88235294117646</v>
      </c>
    </row>
    <row r="235" ht="21">
      <c r="A235" s="4" t="s">
        <v>205</v>
      </c>
      <c r="B235" s="9">
        <v>50</v>
      </c>
      <c r="C235" s="9"/>
      <c r="D235" s="10">
        <v>254.11764705882351</v>
      </c>
    </row>
    <row r="236" ht="21">
      <c r="A236" s="4" t="s">
        <v>206</v>
      </c>
      <c r="B236" s="9">
        <v>180</v>
      </c>
      <c r="C236" s="9"/>
      <c r="D236" s="10">
        <v>472.94117647058823</v>
      </c>
    </row>
    <row r="237" ht="21">
      <c r="A237" s="4" t="s">
        <v>207</v>
      </c>
      <c r="B237" s="9">
        <v>120</v>
      </c>
      <c r="C237" s="9"/>
      <c r="D237" s="10">
        <v>889.41176470588243</v>
      </c>
    </row>
    <row r="238" ht="21">
      <c r="A238" s="4" t="s">
        <v>208</v>
      </c>
      <c r="B238" s="9">
        <v>80</v>
      </c>
      <c r="C238" s="9"/>
      <c r="D238" s="10">
        <v>529.41176470588232</v>
      </c>
    </row>
    <row r="239" ht="21">
      <c r="A239" s="4" t="s">
        <v>208</v>
      </c>
      <c r="B239" s="9">
        <v>40</v>
      </c>
      <c r="C239" s="9"/>
      <c r="D239" s="10">
        <v>296.47058823529414</v>
      </c>
    </row>
    <row r="240" ht="21">
      <c r="A240" s="4" t="s">
        <v>209</v>
      </c>
      <c r="B240" s="9">
        <v>40</v>
      </c>
      <c r="C240" s="9"/>
      <c r="D240" s="10">
        <v>225.88235294117646</v>
      </c>
    </row>
    <row r="241" ht="21">
      <c r="A241" s="4" t="s">
        <v>210</v>
      </c>
      <c r="B241" s="9">
        <v>30</v>
      </c>
      <c r="C241" s="9"/>
      <c r="D241" s="10">
        <v>141.1764705882353</v>
      </c>
    </row>
    <row r="242" ht="34">
      <c r="A242" s="4" t="s">
        <v>211</v>
      </c>
      <c r="B242" s="9">
        <v>80</v>
      </c>
      <c r="C242" s="9"/>
      <c r="D242" s="10">
        <v>296.47058823529414</v>
      </c>
    </row>
    <row r="243" ht="21">
      <c r="A243" s="4" t="s">
        <v>212</v>
      </c>
      <c r="B243" s="9">
        <v>60</v>
      </c>
      <c r="C243" s="9"/>
      <c r="D243" s="10">
        <v>451.76470588235293</v>
      </c>
    </row>
    <row r="244" ht="21">
      <c r="A244" s="4" t="s">
        <v>213</v>
      </c>
      <c r="B244" s="9">
        <v>100</v>
      </c>
      <c r="C244" s="9"/>
      <c r="D244" s="10">
        <v>435.29411764705878</v>
      </c>
    </row>
    <row r="245">
      <c r="A245" s="4"/>
      <c r="B245" s="3"/>
      <c r="C245" s="3"/>
      <c r="D245" s="3"/>
    </row>
    <row r="246" ht="25">
      <c r="A246" s="8" t="s">
        <v>214</v>
      </c>
      <c r="B246" s="3"/>
      <c r="C246" s="3"/>
      <c r="D246" s="3"/>
    </row>
    <row r="247" ht="21">
      <c r="A247" s="4" t="s">
        <v>215</v>
      </c>
      <c r="B247" s="9">
        <v>150</v>
      </c>
      <c r="C247" s="9"/>
      <c r="D247" s="10">
        <v>296.47058823529414</v>
      </c>
    </row>
    <row r="248" ht="21">
      <c r="A248" s="4" t="s">
        <v>216</v>
      </c>
      <c r="B248" s="9">
        <v>100</v>
      </c>
      <c r="C248" s="9"/>
      <c r="D248" s="10">
        <v>232.94117647058826</v>
      </c>
    </row>
    <row r="249" ht="21">
      <c r="A249" s="4" t="s">
        <v>217</v>
      </c>
      <c r="B249" s="9">
        <v>150</v>
      </c>
      <c r="C249" s="9"/>
      <c r="D249" s="10">
        <v>458.8235294117647</v>
      </c>
    </row>
    <row r="250" ht="21">
      <c r="A250" s="4" t="s">
        <v>218</v>
      </c>
      <c r="B250" s="9">
        <v>150</v>
      </c>
      <c r="C250" s="9"/>
      <c r="D250" s="10">
        <v>331.76470588235298</v>
      </c>
    </row>
    <row r="251" ht="21">
      <c r="A251" s="4" t="s">
        <v>208</v>
      </c>
      <c r="B251" s="9">
        <v>80</v>
      </c>
      <c r="C251" s="9"/>
      <c r="D251" s="10">
        <v>444.70588235294122</v>
      </c>
    </row>
    <row r="252" ht="21">
      <c r="A252" s="4" t="s">
        <v>219</v>
      </c>
      <c r="B252" s="9">
        <v>120</v>
      </c>
      <c r="C252" s="9"/>
      <c r="D252" s="10">
        <v>355.29411764705878</v>
      </c>
    </row>
    <row r="253" ht="21">
      <c r="A253" s="4" t="s">
        <v>220</v>
      </c>
      <c r="B253" s="9">
        <v>50</v>
      </c>
      <c r="C253" s="9"/>
      <c r="D253" s="10">
        <v>197.64705882352942</v>
      </c>
    </row>
    <row r="254" ht="21">
      <c r="A254" s="4" t="s">
        <v>221</v>
      </c>
      <c r="B254" s="9">
        <v>35</v>
      </c>
      <c r="C254" s="9"/>
      <c r="D254" s="10">
        <v>282.35294117647061</v>
      </c>
    </row>
    <row r="255" ht="21">
      <c r="A255" s="4" t="s">
        <v>222</v>
      </c>
      <c r="B255" s="9">
        <v>100</v>
      </c>
      <c r="C255" s="9"/>
      <c r="D255" s="10">
        <v>317.64705882352939</v>
      </c>
    </row>
    <row r="256" ht="21">
      <c r="A256" s="4" t="s">
        <v>223</v>
      </c>
      <c r="B256" s="9">
        <v>60</v>
      </c>
      <c r="C256" s="9"/>
      <c r="D256" s="10">
        <v>232.94117647058826</v>
      </c>
    </row>
    <row r="257" ht="21">
      <c r="A257" s="4" t="s">
        <v>224</v>
      </c>
      <c r="B257" s="9">
        <v>100</v>
      </c>
      <c r="C257" s="9"/>
      <c r="D257" s="10">
        <v>296.47058823529414</v>
      </c>
    </row>
    <row r="258" ht="21">
      <c r="A258" s="4" t="s">
        <v>225</v>
      </c>
      <c r="B258" s="9">
        <v>180</v>
      </c>
      <c r="C258" s="9"/>
      <c r="D258" s="10">
        <v>232.94117647058826</v>
      </c>
    </row>
    <row r="259" ht="21">
      <c r="A259" s="4" t="s">
        <v>216</v>
      </c>
      <c r="B259" s="9">
        <v>120</v>
      </c>
      <c r="C259" s="9"/>
      <c r="D259" s="10">
        <v>345.88235294117646</v>
      </c>
    </row>
    <row r="260" ht="21">
      <c r="A260" s="4" t="s">
        <v>206</v>
      </c>
      <c r="B260" s="9">
        <v>130</v>
      </c>
      <c r="C260" s="9"/>
      <c r="D260" s="10">
        <v>395.29411764705884</v>
      </c>
    </row>
    <row r="261" ht="21">
      <c r="A261" s="4" t="s">
        <v>226</v>
      </c>
      <c r="B261" s="9">
        <v>100</v>
      </c>
      <c r="C261" s="9"/>
      <c r="D261" s="10">
        <v>197.64705882352942</v>
      </c>
    </row>
    <row r="262">
      <c r="A262" s="4"/>
      <c r="B262" s="3"/>
      <c r="C262" s="3"/>
      <c r="D262" s="3"/>
    </row>
    <row r="263" ht="25">
      <c r="A263" s="8" t="s">
        <v>227</v>
      </c>
      <c r="B263" s="3"/>
      <c r="C263" s="3"/>
      <c r="D263" s="3"/>
    </row>
    <row r="264" ht="21">
      <c r="A264" s="4" t="s">
        <v>228</v>
      </c>
      <c r="B264" s="9">
        <v>220</v>
      </c>
      <c r="C264" s="9"/>
      <c r="D264" s="10">
        <v>1404.7058823529412</v>
      </c>
    </row>
    <row r="265" ht="21">
      <c r="A265" s="4" t="s">
        <v>229</v>
      </c>
      <c r="B265" s="9">
        <v>240</v>
      </c>
      <c r="C265" s="9"/>
      <c r="D265" s="10">
        <v>1905.8823529411764</v>
      </c>
    </row>
    <row r="266" ht="34">
      <c r="A266" s="4" t="s">
        <v>393</v>
      </c>
      <c r="B266" s="9">
        <v>210</v>
      </c>
      <c r="C266" s="9"/>
      <c r="D266" s="10">
        <v>770.58823529411768</v>
      </c>
    </row>
    <row r="267" ht="34">
      <c r="A267" s="4" t="s">
        <v>231</v>
      </c>
      <c r="B267" s="9">
        <v>220</v>
      </c>
      <c r="C267" s="9"/>
      <c r="D267" s="10">
        <v>1207.0588235294117</v>
      </c>
    </row>
    <row r="268" ht="34">
      <c r="A268" s="4" t="s">
        <v>232</v>
      </c>
      <c r="B268" s="9">
        <v>220</v>
      </c>
      <c r="C268" s="9"/>
      <c r="D268" s="10">
        <v>1242.3529411764707</v>
      </c>
    </row>
    <row r="269" ht="21">
      <c r="A269" s="4" t="s">
        <v>233</v>
      </c>
      <c r="B269" s="9">
        <v>240</v>
      </c>
      <c r="C269" s="9"/>
      <c r="D269" s="10">
        <v>1602.3529411764705</v>
      </c>
    </row>
    <row r="270" ht="21">
      <c r="A270" s="4" t="s">
        <v>234</v>
      </c>
      <c r="B270" s="9">
        <v>280</v>
      </c>
      <c r="C270" s="9"/>
      <c r="D270" s="10">
        <v>1334.1176470588236</v>
      </c>
    </row>
    <row r="271" ht="34">
      <c r="A271" s="4" t="s">
        <v>235</v>
      </c>
      <c r="B271" s="9">
        <v>280</v>
      </c>
      <c r="C271" s="9"/>
      <c r="D271" s="10">
        <v>1334.1176470588236</v>
      </c>
    </row>
    <row r="272" ht="21">
      <c r="A272" s="4" t="s">
        <v>236</v>
      </c>
      <c r="B272" s="9">
        <v>220</v>
      </c>
      <c r="C272" s="9"/>
      <c r="D272" s="10">
        <v>1178.8235294117649</v>
      </c>
    </row>
    <row r="273" ht="21">
      <c r="A273" s="4" t="s">
        <v>237</v>
      </c>
      <c r="B273" s="9">
        <v>180</v>
      </c>
      <c r="C273" s="9"/>
      <c r="D273" s="10">
        <v>825.88235294117658</v>
      </c>
    </row>
    <row r="274" ht="34">
      <c r="A274" s="4" t="s">
        <v>238</v>
      </c>
      <c r="B274" s="9">
        <v>280</v>
      </c>
      <c r="C274" s="9"/>
      <c r="D274" s="10">
        <v>1305.8823529411764</v>
      </c>
    </row>
    <row r="275" ht="34">
      <c r="A275" s="4" t="s">
        <v>239</v>
      </c>
      <c r="B275" s="9">
        <v>220</v>
      </c>
      <c r="C275" s="9"/>
      <c r="D275" s="10">
        <v>1108.2352941176471</v>
      </c>
    </row>
    <row r="276" ht="34">
      <c r="A276" s="4" t="s">
        <v>240</v>
      </c>
      <c r="B276" s="9">
        <v>320</v>
      </c>
      <c r="C276" s="9"/>
      <c r="D276" s="10">
        <v>1087.0588235294117</v>
      </c>
    </row>
    <row r="277" ht="34">
      <c r="A277" s="4" t="s">
        <v>241</v>
      </c>
      <c r="B277" s="9">
        <v>320</v>
      </c>
      <c r="C277" s="9"/>
      <c r="D277" s="10">
        <v>494.11764705882354</v>
      </c>
    </row>
    <row r="278" ht="21">
      <c r="A278" s="4" t="s">
        <v>242</v>
      </c>
      <c r="B278" s="9">
        <v>150</v>
      </c>
      <c r="C278" s="9"/>
      <c r="D278" s="10">
        <v>367.05882352941177</v>
      </c>
    </row>
    <row r="279" ht="21">
      <c r="A279" s="4" t="s">
        <v>243</v>
      </c>
      <c r="B279" s="9">
        <v>150</v>
      </c>
      <c r="C279" s="9"/>
      <c r="D279" s="10">
        <v>367.05882352941177</v>
      </c>
    </row>
    <row r="280">
      <c r="A280" s="4"/>
      <c r="B280" s="3"/>
      <c r="C280" s="3"/>
      <c r="D280" s="3"/>
    </row>
    <row r="281" ht="25">
      <c r="A281" s="8" t="s">
        <v>244</v>
      </c>
      <c r="B281" s="3"/>
      <c r="C281" s="3"/>
      <c r="D281" s="3"/>
    </row>
    <row r="282" ht="21">
      <c r="A282" s="4" t="s">
        <v>245</v>
      </c>
      <c r="B282" s="9">
        <v>220</v>
      </c>
      <c r="C282" s="9"/>
      <c r="D282" s="10">
        <v>2823.5294117647059</v>
      </c>
    </row>
    <row r="283" ht="21">
      <c r="A283" s="4" t="s">
        <v>246</v>
      </c>
      <c r="B283" s="9">
        <v>220</v>
      </c>
      <c r="C283" s="9"/>
      <c r="D283" s="10">
        <v>635.29411764705878</v>
      </c>
    </row>
    <row r="284" ht="21">
      <c r="A284" s="4" t="s">
        <v>247</v>
      </c>
      <c r="B284" s="9">
        <v>220</v>
      </c>
      <c r="C284" s="9"/>
      <c r="D284" s="10">
        <v>974.11764705882342</v>
      </c>
    </row>
    <row r="285" ht="21">
      <c r="A285" s="4" t="s">
        <v>248</v>
      </c>
      <c r="B285" s="9">
        <v>220</v>
      </c>
      <c r="C285" s="9"/>
      <c r="D285" s="10">
        <v>494.11764705882354</v>
      </c>
    </row>
    <row r="286" ht="34">
      <c r="A286" s="4" t="s">
        <v>249</v>
      </c>
      <c r="B286" s="9">
        <v>230</v>
      </c>
      <c r="C286" s="9"/>
      <c r="D286" s="10">
        <v>698.82352941176475</v>
      </c>
    </row>
    <row r="287" ht="34">
      <c r="A287" s="4" t="s">
        <v>250</v>
      </c>
      <c r="B287" s="9">
        <v>230</v>
      </c>
      <c r="C287" s="9"/>
      <c r="D287" s="10">
        <v>861.17647058823525</v>
      </c>
    </row>
    <row r="288" ht="21">
      <c r="A288" s="4" t="s">
        <v>251</v>
      </c>
      <c r="B288" s="9">
        <v>280</v>
      </c>
      <c r="C288" s="9"/>
      <c r="D288" s="10">
        <v>769.41176470588232</v>
      </c>
    </row>
    <row r="289" ht="21">
      <c r="A289" s="4" t="s">
        <v>252</v>
      </c>
      <c r="B289" s="9">
        <v>250</v>
      </c>
      <c r="C289" s="9"/>
      <c r="D289" s="10">
        <v>755.29411764705878</v>
      </c>
    </row>
    <row r="290" ht="21">
      <c r="A290" s="4" t="s">
        <v>253</v>
      </c>
      <c r="B290" s="9">
        <v>220</v>
      </c>
      <c r="C290" s="9"/>
      <c r="D290" s="10">
        <v>903.52941176470586</v>
      </c>
    </row>
    <row r="291" ht="21">
      <c r="A291" s="4" t="s">
        <v>254</v>
      </c>
      <c r="B291" s="9">
        <v>180</v>
      </c>
      <c r="C291" s="9"/>
      <c r="D291" s="10">
        <v>945.88235294117646</v>
      </c>
    </row>
    <row r="292" ht="68">
      <c r="A292" s="4" t="s">
        <v>255</v>
      </c>
      <c r="B292" s="9">
        <v>300</v>
      </c>
      <c r="C292" s="9"/>
      <c r="D292" s="10">
        <v>1680</v>
      </c>
    </row>
    <row r="293" ht="21">
      <c r="A293" s="4" t="s">
        <v>256</v>
      </c>
      <c r="B293" s="9">
        <v>180</v>
      </c>
      <c r="C293" s="9"/>
      <c r="D293" s="10">
        <v>931.76470588235304</v>
      </c>
    </row>
    <row r="294" ht="21">
      <c r="A294" s="4" t="s">
        <v>257</v>
      </c>
      <c r="B294" s="9">
        <v>130</v>
      </c>
      <c r="C294" s="9"/>
      <c r="D294" s="10">
        <v>592.94117647058829</v>
      </c>
    </row>
    <row r="295">
      <c r="A295" s="4"/>
      <c r="B295" s="3"/>
      <c r="C295" s="3"/>
      <c r="D295" s="3"/>
    </row>
    <row r="296" ht="25">
      <c r="A296" s="8" t="s">
        <v>258</v>
      </c>
      <c r="B296" s="3"/>
      <c r="C296" s="3"/>
      <c r="D296" s="3"/>
    </row>
    <row r="297" ht="21">
      <c r="A297" s="4" t="s">
        <v>259</v>
      </c>
      <c r="B297" s="9">
        <v>155</v>
      </c>
      <c r="C297" s="9"/>
      <c r="D297" s="10">
        <v>1030.5882352941178</v>
      </c>
    </row>
    <row r="298" ht="21">
      <c r="A298" s="4" t="s">
        <v>260</v>
      </c>
      <c r="B298" s="9">
        <v>100</v>
      </c>
      <c r="C298" s="9"/>
      <c r="D298" s="10">
        <v>381.17647058823525</v>
      </c>
    </row>
    <row r="299" ht="21">
      <c r="A299" s="4" t="s">
        <v>261</v>
      </c>
      <c r="B299" s="9">
        <v>100</v>
      </c>
      <c r="C299" s="9"/>
      <c r="D299" s="10">
        <v>296.47058823529414</v>
      </c>
    </row>
    <row r="300" ht="21">
      <c r="A300" s="4" t="s">
        <v>262</v>
      </c>
      <c r="B300" s="9">
        <v>350</v>
      </c>
      <c r="C300" s="9"/>
      <c r="D300" s="10">
        <v>1150.5882352941176</v>
      </c>
    </row>
    <row r="301" ht="21">
      <c r="A301" s="4" t="s">
        <v>263</v>
      </c>
      <c r="B301" s="9">
        <v>100</v>
      </c>
      <c r="C301" s="9"/>
      <c r="D301" s="10">
        <v>755.29411764705878</v>
      </c>
    </row>
    <row r="302" ht="21">
      <c r="A302" s="4" t="s">
        <v>264</v>
      </c>
      <c r="B302" s="9">
        <v>120</v>
      </c>
      <c r="C302" s="9"/>
      <c r="D302" s="10">
        <v>395.29411764705884</v>
      </c>
    </row>
    <row r="303" ht="21">
      <c r="A303" s="4" t="s">
        <v>265</v>
      </c>
      <c r="B303" s="9">
        <v>100</v>
      </c>
      <c r="C303" s="9"/>
      <c r="D303" s="10">
        <v>691.76470588235293</v>
      </c>
    </row>
    <row r="304" ht="21">
      <c r="A304" s="4" t="s">
        <v>224</v>
      </c>
      <c r="B304" s="9">
        <v>100</v>
      </c>
      <c r="C304" s="9"/>
      <c r="D304" s="10">
        <v>240</v>
      </c>
    </row>
    <row r="305" ht="21">
      <c r="A305" s="4" t="s">
        <v>266</v>
      </c>
      <c r="B305" s="9">
        <v>300</v>
      </c>
      <c r="C305" s="9"/>
      <c r="D305" s="10">
        <v>755.29411764705878</v>
      </c>
    </row>
    <row r="306" ht="21">
      <c r="A306" s="4" t="s">
        <v>267</v>
      </c>
      <c r="B306" s="9">
        <v>150</v>
      </c>
      <c r="C306" s="9"/>
      <c r="D306" s="10">
        <v>903.52941176470586</v>
      </c>
    </row>
    <row r="307" ht="34">
      <c r="A307" s="4" t="s">
        <v>268</v>
      </c>
      <c r="B307" s="9">
        <v>320</v>
      </c>
      <c r="C307" s="9"/>
      <c r="D307" s="10">
        <v>832.94117647058829</v>
      </c>
    </row>
    <row r="308">
      <c r="A308" s="4"/>
      <c r="B308" s="3"/>
      <c r="C308" s="3"/>
      <c r="D308" s="3"/>
    </row>
    <row r="309" ht="25">
      <c r="A309" s="8" t="s">
        <v>269</v>
      </c>
      <c r="B309" s="3"/>
      <c r="C309" s="3"/>
      <c r="D309" s="3"/>
    </row>
    <row r="310" ht="21">
      <c r="A310" s="4" t="s">
        <v>270</v>
      </c>
      <c r="B310" s="9">
        <v>100</v>
      </c>
      <c r="C310" s="9"/>
      <c r="D310" s="10">
        <v>494.11764705882354</v>
      </c>
    </row>
    <row r="311" ht="21">
      <c r="A311" s="4" t="s">
        <v>271</v>
      </c>
      <c r="B311" s="9">
        <v>50</v>
      </c>
      <c r="C311" s="9"/>
      <c r="D311" s="10">
        <v>211.76470588235296</v>
      </c>
    </row>
    <row r="312" ht="21">
      <c r="A312" s="4" t="s">
        <v>272</v>
      </c>
      <c r="B312" s="9">
        <v>50</v>
      </c>
      <c r="C312" s="9"/>
      <c r="D312" s="10">
        <v>296.47058823529414</v>
      </c>
    </row>
    <row r="313">
      <c r="A313" s="4"/>
      <c r="B313" s="3"/>
      <c r="C313" s="3"/>
      <c r="D313" s="3"/>
    </row>
    <row r="314" ht="25">
      <c r="A314" s="8" t="s">
        <v>273</v>
      </c>
      <c r="B314" s="3"/>
      <c r="C314" s="3"/>
      <c r="D314" s="3"/>
    </row>
    <row r="315" ht="21">
      <c r="A315" s="4" t="s">
        <v>274</v>
      </c>
      <c r="B315" s="9">
        <v>100</v>
      </c>
      <c r="C315" s="9"/>
      <c r="D315" s="10">
        <v>218.82352941176472</v>
      </c>
    </row>
    <row r="316" ht="21">
      <c r="A316" s="4" t="s">
        <v>275</v>
      </c>
      <c r="B316" s="9">
        <v>100</v>
      </c>
      <c r="C316" s="9"/>
      <c r="D316" s="10">
        <v>296.47058823529414</v>
      </c>
    </row>
    <row r="317" ht="21">
      <c r="A317" s="4" t="s">
        <v>276</v>
      </c>
      <c r="B317" s="9">
        <v>330</v>
      </c>
      <c r="C317" s="9"/>
      <c r="D317" s="10">
        <v>444.70588235294122</v>
      </c>
    </row>
    <row r="318" ht="21">
      <c r="A318" s="4" t="s">
        <v>277</v>
      </c>
      <c r="B318" s="9">
        <v>330</v>
      </c>
      <c r="C318" s="9"/>
      <c r="D318" s="10">
        <v>355.29411764705878</v>
      </c>
    </row>
    <row r="319">
      <c r="A319" s="4"/>
      <c r="B319" s="3"/>
      <c r="C319" s="3"/>
      <c r="D319" s="3"/>
    </row>
    <row r="320" ht="25">
      <c r="A320" s="8" t="s">
        <v>278</v>
      </c>
      <c r="B320" s="3"/>
      <c r="C320" s="3"/>
      <c r="D320" s="3"/>
    </row>
    <row r="321" ht="51">
      <c r="A321" s="4" t="s">
        <v>279</v>
      </c>
      <c r="B321" s="9">
        <v>330</v>
      </c>
      <c r="C321" s="9"/>
      <c r="D321" s="10">
        <v>1178.8235294117649</v>
      </c>
    </row>
    <row r="322" ht="21">
      <c r="A322" s="4" t="s">
        <v>280</v>
      </c>
      <c r="B322" s="9">
        <v>330</v>
      </c>
      <c r="C322" s="9"/>
      <c r="D322" s="10">
        <v>1037.6470588235295</v>
      </c>
    </row>
    <row r="323" ht="34">
      <c r="A323" s="4" t="s">
        <v>281</v>
      </c>
      <c r="B323" s="9">
        <v>330</v>
      </c>
      <c r="C323" s="9"/>
      <c r="D323" s="10">
        <v>981.17647058823536</v>
      </c>
    </row>
    <row r="324" ht="34">
      <c r="A324" s="4" t="s">
        <v>282</v>
      </c>
      <c r="B324" s="9">
        <v>330</v>
      </c>
      <c r="C324" s="9"/>
      <c r="D324" s="10">
        <v>882.35294117647061</v>
      </c>
    </row>
    <row r="325" ht="34">
      <c r="A325" s="4" t="s">
        <v>283</v>
      </c>
      <c r="B325" s="9">
        <v>330</v>
      </c>
      <c r="C325" s="9"/>
      <c r="D325" s="10">
        <v>818.82352941176464</v>
      </c>
    </row>
    <row r="326" ht="34">
      <c r="A326" s="4" t="s">
        <v>284</v>
      </c>
      <c r="B326" s="9">
        <v>330</v>
      </c>
      <c r="C326" s="9"/>
      <c r="D326" s="10">
        <v>861.17647058823525</v>
      </c>
    </row>
    <row r="327" ht="34">
      <c r="A327" s="4" t="s">
        <v>285</v>
      </c>
      <c r="B327" s="9">
        <v>330</v>
      </c>
      <c r="C327" s="9"/>
      <c r="D327" s="10">
        <v>804.70588235294122</v>
      </c>
    </row>
    <row r="328" ht="21">
      <c r="A328" s="4" t="s">
        <v>286</v>
      </c>
      <c r="B328" s="9">
        <v>330</v>
      </c>
      <c r="C328" s="9"/>
      <c r="D328" s="10">
        <v>882.35294117647061</v>
      </c>
    </row>
    <row r="329" ht="34">
      <c r="A329" s="4" t="s">
        <v>287</v>
      </c>
      <c r="B329" s="9">
        <v>330</v>
      </c>
      <c r="C329" s="9"/>
      <c r="D329" s="10">
        <v>769.41176470588232</v>
      </c>
    </row>
    <row r="330" ht="34">
      <c r="A330" s="4" t="s">
        <v>288</v>
      </c>
      <c r="B330" s="9">
        <v>330</v>
      </c>
      <c r="C330" s="9"/>
      <c r="D330" s="10">
        <v>1058.8235294117646</v>
      </c>
    </row>
    <row r="331" ht="34">
      <c r="A331" s="4" t="s">
        <v>289</v>
      </c>
      <c r="B331" s="9">
        <v>330</v>
      </c>
      <c r="C331" s="9"/>
      <c r="D331" s="10">
        <v>861.17647058823525</v>
      </c>
    </row>
    <row r="332">
      <c r="A332" s="4"/>
      <c r="B332" s="3"/>
      <c r="C332" s="3"/>
      <c r="D332" s="3"/>
    </row>
    <row r="333" ht="25">
      <c r="A333" s="8" t="s">
        <v>290</v>
      </c>
      <c r="B333" s="3"/>
      <c r="C333" s="3"/>
      <c r="D333" s="3"/>
    </row>
    <row r="334" ht="21">
      <c r="A334" s="4" t="s">
        <v>291</v>
      </c>
      <c r="B334" s="9">
        <v>40</v>
      </c>
      <c r="C334" s="9"/>
      <c r="D334" s="10">
        <v>190.58823529411762</v>
      </c>
    </row>
    <row r="335" ht="21">
      <c r="A335" s="4" t="s">
        <v>292</v>
      </c>
      <c r="B335" s="9">
        <v>50</v>
      </c>
      <c r="C335" s="9"/>
      <c r="D335" s="10">
        <v>197.64705882352942</v>
      </c>
    </row>
    <row r="336" ht="21">
      <c r="A336" s="4" t="s">
        <v>293</v>
      </c>
      <c r="B336" s="9">
        <v>40</v>
      </c>
      <c r="C336" s="9"/>
      <c r="D336" s="10">
        <v>183.52941176470588</v>
      </c>
    </row>
    <row r="337" ht="21">
      <c r="A337" s="4" t="s">
        <v>294</v>
      </c>
      <c r="B337" s="9">
        <v>40</v>
      </c>
      <c r="C337" s="9"/>
      <c r="D337" s="10">
        <v>183.52941176470588</v>
      </c>
    </row>
    <row r="338" ht="21">
      <c r="A338" s="4" t="s">
        <v>295</v>
      </c>
      <c r="B338" s="9">
        <v>40</v>
      </c>
      <c r="C338" s="9"/>
      <c r="D338" s="10">
        <v>183.52941176470588</v>
      </c>
    </row>
    <row r="339" ht="21">
      <c r="A339" s="4" t="s">
        <v>296</v>
      </c>
      <c r="B339" s="9">
        <v>40</v>
      </c>
      <c r="C339" s="9"/>
      <c r="D339" s="10">
        <v>197.64705882352942</v>
      </c>
    </row>
    <row r="340" ht="21">
      <c r="A340" s="4" t="s">
        <v>297</v>
      </c>
      <c r="B340" s="9">
        <v>40</v>
      </c>
      <c r="C340" s="9"/>
      <c r="D340" s="10">
        <v>197.64705882352942</v>
      </c>
    </row>
    <row r="341" ht="21">
      <c r="A341" s="4" t="s">
        <v>298</v>
      </c>
      <c r="B341" s="9">
        <v>25</v>
      </c>
      <c r="C341" s="9"/>
      <c r="D341" s="10">
        <v>120</v>
      </c>
    </row>
    <row r="342" ht="21">
      <c r="A342" s="4" t="s">
        <v>299</v>
      </c>
      <c r="B342" s="9">
        <v>25</v>
      </c>
      <c r="C342" s="9"/>
      <c r="D342" s="10">
        <v>105.88235294117648</v>
      </c>
    </row>
    <row r="343" ht="21">
      <c r="A343" s="4" t="s">
        <v>300</v>
      </c>
      <c r="B343" s="9">
        <v>50</v>
      </c>
      <c r="C343" s="9"/>
      <c r="D343" s="10">
        <v>240</v>
      </c>
    </row>
    <row r="344" ht="21">
      <c r="A344" s="4" t="s">
        <v>301</v>
      </c>
      <c r="B344" s="9">
        <v>50</v>
      </c>
      <c r="C344" s="9"/>
      <c r="D344" s="10">
        <v>197.64705882352942</v>
      </c>
    </row>
    <row r="345" ht="21">
      <c r="A345" s="4" t="s">
        <v>302</v>
      </c>
      <c r="B345" s="9">
        <v>50</v>
      </c>
      <c r="C345" s="9"/>
      <c r="D345" s="10">
        <v>120</v>
      </c>
    </row>
    <row r="346" ht="21">
      <c r="A346" s="4" t="s">
        <v>303</v>
      </c>
      <c r="B346" s="9">
        <v>50</v>
      </c>
      <c r="C346" s="9"/>
      <c r="D346" s="10">
        <v>148.23529411764707</v>
      </c>
    </row>
    <row r="347" ht="21">
      <c r="A347" s="4" t="s">
        <v>304</v>
      </c>
      <c r="B347" s="9">
        <v>50</v>
      </c>
      <c r="C347" s="9"/>
      <c r="D347" s="10">
        <v>176.47058823529412</v>
      </c>
    </row>
    <row r="348" ht="21">
      <c r="A348" s="4" t="s">
        <v>305</v>
      </c>
      <c r="B348" s="9">
        <v>50</v>
      </c>
      <c r="C348" s="9"/>
      <c r="D348" s="10">
        <v>218.82352941176472</v>
      </c>
    </row>
    <row r="349" ht="21">
      <c r="A349" s="4" t="s">
        <v>306</v>
      </c>
      <c r="B349" s="9">
        <v>50</v>
      </c>
      <c r="C349" s="9"/>
      <c r="D349" s="10">
        <v>240</v>
      </c>
    </row>
    <row r="350" ht="17">
      <c r="A350" s="4" t="s">
        <v>307</v>
      </c>
      <c r="B350" s="9">
        <v>1</v>
      </c>
      <c r="C350" s="9"/>
      <c r="D350" s="3"/>
    </row>
    <row r="351" ht="25">
      <c r="A351" s="8" t="s">
        <v>308</v>
      </c>
      <c r="B351" s="3"/>
      <c r="C351" s="3"/>
      <c r="D351" s="3"/>
    </row>
    <row r="352" ht="21">
      <c r="A352" s="4" t="s">
        <v>309</v>
      </c>
      <c r="B352" s="9">
        <v>130</v>
      </c>
      <c r="C352" s="9"/>
      <c r="D352" s="10">
        <v>734.11764705882354</v>
      </c>
    </row>
    <row r="353" ht="25">
      <c r="A353" s="8" t="s">
        <v>310</v>
      </c>
      <c r="B353" s="3"/>
      <c r="C353" s="3"/>
      <c r="D353" s="3"/>
    </row>
    <row r="354" ht="21">
      <c r="A354" s="4" t="s">
        <v>311</v>
      </c>
      <c r="B354" s="9">
        <v>40</v>
      </c>
      <c r="C354" s="9"/>
      <c r="D354" s="10">
        <v>176.47058823529412</v>
      </c>
    </row>
    <row r="355" ht="21">
      <c r="A355" s="4" t="s">
        <v>312</v>
      </c>
      <c r="B355" s="9">
        <v>40</v>
      </c>
      <c r="C355" s="9"/>
      <c r="D355" s="10">
        <v>197.64705882352942</v>
      </c>
    </row>
    <row r="356" ht="21">
      <c r="A356" s="4" t="s">
        <v>313</v>
      </c>
      <c r="B356" s="9">
        <v>40</v>
      </c>
      <c r="C356" s="9"/>
      <c r="D356" s="10">
        <v>176.47058823529412</v>
      </c>
    </row>
    <row r="357" ht="21">
      <c r="A357" s="4" t="s">
        <v>314</v>
      </c>
      <c r="B357" s="9">
        <v>50</v>
      </c>
      <c r="C357" s="9"/>
      <c r="D357" s="10">
        <v>355.29411764705878</v>
      </c>
    </row>
    <row r="358" ht="21">
      <c r="A358" s="4" t="s">
        <v>315</v>
      </c>
      <c r="B358" s="9">
        <v>50</v>
      </c>
      <c r="C358" s="9"/>
      <c r="D358" s="10">
        <v>232.94117647058826</v>
      </c>
    </row>
    <row r="359" ht="21">
      <c r="A359" s="4" t="s">
        <v>316</v>
      </c>
      <c r="B359" s="9">
        <v>50</v>
      </c>
      <c r="C359" s="9"/>
      <c r="D359" s="10">
        <v>232.94117647058826</v>
      </c>
    </row>
    <row r="360" ht="34">
      <c r="A360" s="4" t="s">
        <v>317</v>
      </c>
      <c r="B360" s="9">
        <v>50</v>
      </c>
      <c r="C360" s="9"/>
      <c r="D360" s="10">
        <v>296.47058823529414</v>
      </c>
    </row>
    <row r="361" ht="21">
      <c r="A361" s="4" t="s">
        <v>318</v>
      </c>
      <c r="B361" s="9">
        <v>50</v>
      </c>
      <c r="C361" s="9"/>
      <c r="D361" s="10">
        <v>261.1764705882353</v>
      </c>
    </row>
    <row r="362" ht="21">
      <c r="A362" s="4" t="s">
        <v>319</v>
      </c>
      <c r="B362" s="9">
        <v>35</v>
      </c>
      <c r="C362" s="9"/>
      <c r="D362" s="10">
        <v>197.64705882352942</v>
      </c>
    </row>
    <row r="363" ht="21">
      <c r="A363" s="4" t="s">
        <v>320</v>
      </c>
      <c r="B363" s="9">
        <v>35</v>
      </c>
      <c r="C363" s="9"/>
      <c r="D363" s="10">
        <v>261.1764705882353</v>
      </c>
    </row>
    <row r="364" ht="21">
      <c r="A364" s="4" t="s">
        <v>321</v>
      </c>
      <c r="B364" s="9">
        <v>30</v>
      </c>
      <c r="C364" s="9"/>
      <c r="D364" s="10">
        <v>127.05882352941175</v>
      </c>
    </row>
    <row r="365" ht="21">
      <c r="A365" s="4" t="s">
        <v>322</v>
      </c>
      <c r="B365" s="9">
        <v>350</v>
      </c>
      <c r="C365" s="9"/>
      <c r="D365" s="10">
        <v>2668.2352941176473</v>
      </c>
    </row>
    <row r="366" ht="21">
      <c r="A366" s="4" t="s">
        <v>323</v>
      </c>
      <c r="B366" s="9">
        <v>60</v>
      </c>
      <c r="C366" s="9"/>
      <c r="D366" s="10">
        <v>494.11764705882354</v>
      </c>
    </row>
    <row r="367" ht="21">
      <c r="A367" s="4" t="s">
        <v>324</v>
      </c>
      <c r="B367" s="9">
        <v>120</v>
      </c>
      <c r="C367" s="9"/>
      <c r="D367" s="10">
        <v>515.2941176470589</v>
      </c>
    </row>
    <row r="368" ht="21">
      <c r="A368" s="4" t="s">
        <v>325</v>
      </c>
      <c r="B368" s="9">
        <v>60</v>
      </c>
      <c r="C368" s="9"/>
      <c r="D368" s="10">
        <v>437.64705882352945</v>
      </c>
    </row>
    <row r="369" ht="34">
      <c r="A369" s="4" t="s">
        <v>326</v>
      </c>
      <c r="B369" s="9">
        <v>1000</v>
      </c>
      <c r="C369" s="9"/>
      <c r="D369" s="10">
        <v>2752.9411764705883</v>
      </c>
    </row>
    <row r="370" ht="25">
      <c r="A370" s="8" t="s">
        <v>327</v>
      </c>
      <c r="B370" s="3"/>
      <c r="C370" s="3"/>
      <c r="D370" s="3"/>
    </row>
    <row r="371" ht="21">
      <c r="A371" s="13" t="s">
        <v>328</v>
      </c>
      <c r="B371" s="3"/>
      <c r="C371" s="3"/>
      <c r="D371" s="10">
        <v>3529.4117647058824</v>
      </c>
    </row>
    <row r="372" ht="17">
      <c r="A372" s="4" t="s">
        <v>329</v>
      </c>
      <c r="B372" s="3"/>
      <c r="C372" s="3"/>
      <c r="D372" s="3"/>
    </row>
    <row r="373" ht="17">
      <c r="A373" s="4" t="s">
        <v>330</v>
      </c>
      <c r="B373" s="3"/>
      <c r="C373" s="3"/>
      <c r="D373" s="3"/>
    </row>
    <row r="374" ht="17">
      <c r="A374" s="4" t="s">
        <v>331</v>
      </c>
      <c r="B374" s="3"/>
      <c r="C374" s="3"/>
      <c r="D374" s="3"/>
    </row>
    <row r="375" ht="17">
      <c r="A375" s="4" t="s">
        <v>332</v>
      </c>
      <c r="B375" s="3"/>
      <c r="C375" s="3"/>
      <c r="D375" s="3"/>
    </row>
    <row r="376" ht="17">
      <c r="A376" s="4" t="s">
        <v>333</v>
      </c>
      <c r="B376" s="3"/>
      <c r="C376" s="3"/>
      <c r="D376" s="3"/>
    </row>
    <row r="377" ht="17">
      <c r="A377" s="4" t="s">
        <v>334</v>
      </c>
      <c r="B377" s="3"/>
      <c r="C377" s="3"/>
      <c r="D377" s="3"/>
    </row>
    <row r="378" ht="17">
      <c r="A378" s="4" t="s">
        <v>335</v>
      </c>
      <c r="B378" s="3"/>
      <c r="C378" s="3"/>
      <c r="D378" s="3"/>
    </row>
    <row r="379" ht="17">
      <c r="A379" s="4" t="s">
        <v>336</v>
      </c>
      <c r="B379" s="3"/>
      <c r="C379" s="3"/>
      <c r="D379" s="3"/>
    </row>
    <row r="380" ht="17">
      <c r="A380" s="4" t="s">
        <v>337</v>
      </c>
      <c r="B380" s="3"/>
      <c r="C380" s="3"/>
      <c r="D380" s="3"/>
    </row>
    <row r="381" ht="17">
      <c r="A381" s="4" t="s">
        <v>315</v>
      </c>
      <c r="B381" s="3"/>
      <c r="C381" s="3"/>
      <c r="D381" s="3"/>
    </row>
    <row r="382" ht="17">
      <c r="A382" s="4" t="s">
        <v>338</v>
      </c>
      <c r="B382" s="3"/>
      <c r="C382" s="3"/>
      <c r="D382" s="3"/>
    </row>
    <row r="383" ht="17">
      <c r="A383" s="4" t="s">
        <v>339</v>
      </c>
      <c r="B383" s="3"/>
      <c r="C383" s="3"/>
      <c r="D383" s="3"/>
    </row>
    <row r="384" ht="17">
      <c r="A384" s="4" t="s">
        <v>340</v>
      </c>
      <c r="B384" s="3"/>
      <c r="C384" s="3"/>
      <c r="D384" s="3"/>
    </row>
    <row r="385" ht="17">
      <c r="A385" s="13" t="s">
        <v>341</v>
      </c>
      <c r="B385" s="3"/>
      <c r="C385" s="3"/>
      <c r="D385" s="3"/>
    </row>
    <row r="386" ht="17">
      <c r="A386" s="4" t="s">
        <v>342</v>
      </c>
      <c r="B386" s="3"/>
      <c r="C386" s="3"/>
      <c r="D386" s="3"/>
    </row>
    <row r="387" ht="17">
      <c r="A387" s="4" t="s">
        <v>343</v>
      </c>
      <c r="B387" s="3"/>
      <c r="C387" s="3"/>
      <c r="D387" s="3"/>
    </row>
    <row r="388" ht="17">
      <c r="A388" s="4" t="s">
        <v>344</v>
      </c>
      <c r="B388" s="3"/>
      <c r="C388" s="3"/>
      <c r="D388" s="3"/>
    </row>
    <row r="389" ht="17">
      <c r="A389" s="4" t="s">
        <v>345</v>
      </c>
      <c r="B389" s="3"/>
      <c r="C389" s="3"/>
      <c r="D389" s="3"/>
    </row>
    <row r="390" ht="17">
      <c r="A390" s="4" t="s">
        <v>346</v>
      </c>
      <c r="B390" s="3"/>
      <c r="C390" s="3"/>
      <c r="D390" s="3"/>
    </row>
    <row r="391" ht="17">
      <c r="A391" s="4" t="s">
        <v>330</v>
      </c>
      <c r="B391" s="3"/>
      <c r="C391" s="3"/>
      <c r="D391" s="3"/>
    </row>
    <row r="392" ht="17">
      <c r="A392" s="4" t="s">
        <v>347</v>
      </c>
      <c r="B392" s="3"/>
      <c r="C392" s="3"/>
      <c r="D392" s="3"/>
    </row>
    <row r="393" ht="17">
      <c r="A393" s="4" t="s">
        <v>348</v>
      </c>
      <c r="B393" s="3"/>
      <c r="C393" s="3"/>
      <c r="D393" s="3"/>
    </row>
    <row r="394" ht="17">
      <c r="A394" s="4" t="s">
        <v>349</v>
      </c>
      <c r="B394" s="3"/>
      <c r="C394" s="3"/>
      <c r="D394" s="3"/>
    </row>
    <row r="395" ht="17">
      <c r="A395" s="4" t="s">
        <v>350</v>
      </c>
      <c r="B395" s="3"/>
      <c r="C395" s="3"/>
      <c r="D395" s="3"/>
    </row>
    <row r="396" ht="17">
      <c r="A396" s="13" t="s">
        <v>351</v>
      </c>
      <c r="B396" s="3"/>
      <c r="C396" s="3"/>
      <c r="D396" s="3"/>
    </row>
    <row r="397" ht="18.75">
      <c r="A397" s="4" t="s">
        <v>352</v>
      </c>
      <c r="B397" s="9">
        <v>150</v>
      </c>
      <c r="C397" s="9"/>
      <c r="D397" s="10">
        <v>988.23529411764707</v>
      </c>
    </row>
    <row r="398" ht="18.75">
      <c r="A398" s="4" t="s">
        <v>353</v>
      </c>
      <c r="B398" s="9">
        <v>200</v>
      </c>
      <c r="C398" s="9"/>
      <c r="D398" s="10">
        <v>988.23529411764707</v>
      </c>
    </row>
    <row r="399" ht="18.75">
      <c r="A399" s="4" t="s">
        <v>354</v>
      </c>
      <c r="B399" s="9">
        <v>200</v>
      </c>
      <c r="C399" s="9"/>
      <c r="D399" s="10">
        <v>1976.4705882352941</v>
      </c>
    </row>
    <row r="400" ht="18.75">
      <c r="A400" s="4" t="s">
        <v>355</v>
      </c>
      <c r="B400" s="9">
        <v>1</v>
      </c>
      <c r="C400" s="9"/>
      <c r="D400" s="10">
        <v>1976.4705882352941</v>
      </c>
    </row>
    <row r="401" ht="18.75">
      <c r="A401" s="4" t="s">
        <v>356</v>
      </c>
      <c r="B401" s="9">
        <v>1</v>
      </c>
      <c r="C401" s="9"/>
      <c r="D401" s="10">
        <v>1976.4705882352941</v>
      </c>
    </row>
    <row r="402" ht="18.75">
      <c r="A402" s="4" t="s">
        <v>357</v>
      </c>
      <c r="B402" s="9">
        <v>1</v>
      </c>
      <c r="C402" s="9"/>
      <c r="D402" s="10">
        <v>1976.4705882352941</v>
      </c>
    </row>
    <row r="403" ht="18.75">
      <c r="A403" s="4" t="s">
        <v>358</v>
      </c>
      <c r="B403" s="9">
        <v>1</v>
      </c>
      <c r="C403" s="9"/>
      <c r="D403" s="10">
        <v>988.23529411764707</v>
      </c>
    </row>
    <row r="404">
      <c r="A404" s="4"/>
      <c r="B404" s="3"/>
      <c r="C404" s="3"/>
      <c r="D404" s="3"/>
    </row>
    <row r="405" ht="23.25">
      <c r="A405" s="8" t="s">
        <v>359</v>
      </c>
      <c r="B405" s="3"/>
      <c r="C405" s="3"/>
      <c r="D405" s="3"/>
    </row>
    <row r="406" ht="18.75">
      <c r="A406" s="4" t="s">
        <v>360</v>
      </c>
      <c r="B406" s="9">
        <v>250</v>
      </c>
      <c r="C406" s="9"/>
      <c r="D406" s="10">
        <v>394.11764705882354</v>
      </c>
    </row>
    <row r="407" ht="18.75">
      <c r="A407" s="4" t="s">
        <v>361</v>
      </c>
      <c r="B407" s="9">
        <v>250</v>
      </c>
      <c r="C407" s="9"/>
      <c r="D407" s="10">
        <v>588.23529411764707</v>
      </c>
    </row>
    <row r="408" ht="18.75">
      <c r="A408" s="4" t="s">
        <v>362</v>
      </c>
      <c r="B408" s="9">
        <v>250</v>
      </c>
      <c r="C408" s="9"/>
      <c r="D408" s="10">
        <v>588.23529411764707</v>
      </c>
    </row>
    <row r="409" ht="18.75">
      <c r="A409" s="4" t="s">
        <v>363</v>
      </c>
      <c r="B409" s="9">
        <v>250</v>
      </c>
      <c r="C409" s="9"/>
      <c r="D409" s="10">
        <v>794.11764705882354</v>
      </c>
    </row>
    <row r="410" ht="18.75">
      <c r="A410" s="4" t="s">
        <v>364</v>
      </c>
      <c r="B410" s="9">
        <v>150</v>
      </c>
      <c r="C410" s="9"/>
      <c r="D410" s="10">
        <v>494.11764705882354</v>
      </c>
    </row>
    <row r="411">
      <c r="A411" s="4"/>
      <c r="B411" s="3"/>
      <c r="C411" s="3"/>
      <c r="D411" s="3"/>
    </row>
    <row r="412" ht="23.25">
      <c r="A412" s="8" t="s">
        <v>365</v>
      </c>
      <c r="B412" s="3"/>
      <c r="C412" s="3"/>
      <c r="D412" s="3"/>
    </row>
    <row r="413" ht="18.75">
      <c r="A413" s="4" t="s">
        <v>366</v>
      </c>
      <c r="B413" s="9">
        <v>500</v>
      </c>
      <c r="C413" s="9"/>
      <c r="D413" s="10">
        <v>141.1764705882353</v>
      </c>
    </row>
    <row r="414" ht="18.75">
      <c r="A414" s="4" t="s">
        <v>366</v>
      </c>
      <c r="B414" s="9">
        <v>330</v>
      </c>
      <c r="C414" s="9"/>
      <c r="D414" s="10">
        <v>100</v>
      </c>
    </row>
    <row r="415" ht="18.75">
      <c r="A415" s="4" t="s">
        <v>367</v>
      </c>
      <c r="B415" s="9">
        <v>500</v>
      </c>
      <c r="C415" s="9"/>
      <c r="D415" s="10">
        <v>197.64705882352942</v>
      </c>
    </row>
    <row r="416" ht="18.75">
      <c r="A416" s="4" t="s">
        <v>367</v>
      </c>
      <c r="B416" s="9">
        <v>330</v>
      </c>
      <c r="C416" s="9"/>
      <c r="D416" s="10">
        <v>164.70588235294116</v>
      </c>
    </row>
    <row r="417" ht="33">
      <c r="A417" s="4" t="s">
        <v>368</v>
      </c>
      <c r="B417" s="9">
        <v>1000</v>
      </c>
      <c r="C417" s="9"/>
      <c r="D417" s="10">
        <v>1070.5882352941176</v>
      </c>
    </row>
    <row r="418" ht="18.75">
      <c r="A418" s="4" t="s">
        <v>369</v>
      </c>
      <c r="B418" s="9">
        <v>1000</v>
      </c>
      <c r="C418" s="9"/>
      <c r="D418" s="10">
        <v>905.88235294117646</v>
      </c>
    </row>
    <row r="419" ht="18.75">
      <c r="A419" s="4" t="s">
        <v>370</v>
      </c>
      <c r="B419" s="9">
        <v>1000</v>
      </c>
      <c r="C419" s="9"/>
      <c r="D419" s="10">
        <v>905.88235294117646</v>
      </c>
    </row>
    <row r="420" ht="18.75">
      <c r="A420" s="4" t="s">
        <v>371</v>
      </c>
      <c r="B420" s="9">
        <v>330</v>
      </c>
      <c r="C420" s="9"/>
      <c r="D420" s="10">
        <v>29.411764705882355</v>
      </c>
    </row>
    <row r="421" ht="18.75">
      <c r="A421" s="4" t="s">
        <v>371</v>
      </c>
      <c r="B421" s="9">
        <v>250</v>
      </c>
      <c r="C421" s="9"/>
      <c r="D421" s="10">
        <v>200</v>
      </c>
    </row>
    <row r="422" ht="18.75">
      <c r="A422" s="4" t="s">
        <v>372</v>
      </c>
      <c r="B422" s="9">
        <v>330</v>
      </c>
      <c r="C422" s="9"/>
      <c r="D422" s="10">
        <v>264.70588235294116</v>
      </c>
    </row>
    <row r="423" ht="18.75">
      <c r="A423" s="4" t="s">
        <v>372</v>
      </c>
      <c r="B423" s="9">
        <v>250</v>
      </c>
      <c r="C423" s="9"/>
      <c r="D423" s="10">
        <v>205.88235294117646</v>
      </c>
    </row>
    <row r="424" ht="18.75">
      <c r="A424" s="4" t="s">
        <v>373</v>
      </c>
      <c r="B424" s="9">
        <v>1000</v>
      </c>
      <c r="C424" s="9"/>
      <c r="D424" s="10">
        <v>1647.0588235294117</v>
      </c>
    </row>
    <row r="425">
      <c r="A425" s="4"/>
      <c r="B425" s="3"/>
      <c r="C425" s="3"/>
      <c r="D425" s="3"/>
    </row>
    <row r="426" ht="23.25">
      <c r="A426" s="8" t="s">
        <v>374</v>
      </c>
      <c r="B426" s="3"/>
      <c r="C426" s="3"/>
      <c r="D426" s="3"/>
    </row>
    <row r="427" ht="18.75">
      <c r="A427" s="4" t="s">
        <v>375</v>
      </c>
      <c r="B427" s="9">
        <v>220</v>
      </c>
      <c r="C427" s="9"/>
      <c r="D427" s="10">
        <v>135.29411764705884</v>
      </c>
    </row>
    <row r="428" ht="18.75">
      <c r="A428" s="4" t="s">
        <v>376</v>
      </c>
      <c r="B428" s="9">
        <v>220</v>
      </c>
      <c r="C428" s="9"/>
      <c r="D428" s="10">
        <v>296.47058823529414</v>
      </c>
    </row>
    <row r="429" ht="18.75">
      <c r="A429" s="4" t="s">
        <v>377</v>
      </c>
      <c r="B429" s="9">
        <v>220</v>
      </c>
      <c r="C429" s="9"/>
      <c r="D429" s="10">
        <v>188.23529411764704</v>
      </c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 ht="17">
      <c r="A432" s="15" t="s">
        <v>378</v>
      </c>
      <c r="B432" s="3"/>
      <c r="C432" s="3"/>
      <c r="D432" s="3"/>
    </row>
    <row r="433" ht="17">
      <c r="A433" s="15" t="s">
        <v>379</v>
      </c>
      <c r="B433" s="3"/>
      <c r="C433" s="3"/>
      <c r="D433" s="3"/>
    </row>
    <row r="434">
      <c r="A434" s="4"/>
      <c r="B434" s="3"/>
      <c r="C434" s="3"/>
      <c r="D434" s="3"/>
    </row>
    <row r="435" ht="17">
      <c r="A435" s="15" t="s">
        <v>380</v>
      </c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 ht="17">
      <c r="A438" s="15" t="s">
        <v>381</v>
      </c>
      <c r="B438" s="3"/>
      <c r="C438" s="3"/>
      <c r="D438" s="3"/>
    </row>
    <row r="439">
      <c r="A439" s="4"/>
      <c r="B439" s="3"/>
      <c r="C439" s="3"/>
      <c r="D439" s="3"/>
    </row>
    <row r="440" ht="17">
      <c r="A440" s="12" t="s">
        <v>382</v>
      </c>
      <c r="B440" s="3"/>
      <c r="C440" s="3"/>
      <c r="D440" s="3"/>
    </row>
    <row r="441" ht="17">
      <c r="A441" s="12" t="s">
        <v>383</v>
      </c>
      <c r="B441" s="3"/>
      <c r="C441" s="3"/>
      <c r="D441" s="3"/>
    </row>
    <row r="442" ht="17">
      <c r="A442" s="12" t="s">
        <v>384</v>
      </c>
      <c r="B442" s="3"/>
      <c r="C442" s="3"/>
      <c r="D442" s="3"/>
    </row>
    <row r="443" ht="17">
      <c r="A443" s="15" t="s">
        <v>385</v>
      </c>
      <c r="B443" s="3"/>
      <c r="C443" s="3"/>
      <c r="D443" s="3"/>
    </row>
    <row r="444" ht="17">
      <c r="A444" s="15" t="s">
        <v>386</v>
      </c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 ht="17">
      <c r="A447" s="15" t="s">
        <v>387</v>
      </c>
      <c r="B447" s="3"/>
      <c r="C447" s="3"/>
      <c r="D447" s="3"/>
    </row>
    <row r="448">
      <c r="A448" s="4"/>
      <c r="B448" s="3"/>
      <c r="C448" s="3"/>
      <c r="D448" s="3"/>
    </row>
    <row r="449" ht="17">
      <c r="A449" s="15" t="s">
        <v>388</v>
      </c>
      <c r="B449" s="3"/>
      <c r="C449" s="3"/>
      <c r="D449" s="3"/>
    </row>
    <row r="450" ht="17">
      <c r="A450" s="15" t="s">
        <v>389</v>
      </c>
      <c r="B450" s="3"/>
      <c r="C450" s="3"/>
      <c r="D450" s="3"/>
    </row>
    <row r="451" ht="17">
      <c r="A451" s="15" t="s">
        <v>390</v>
      </c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</sheetData>
  <mergeCells count="1">
    <mergeCell ref="B2:B3"/>
  </mergeCells>
  <printOptions headings="0" gridLines="0"/>
  <pageMargins left="0.70099999999999985" right="0.70099999999999985" top="0.75200000000000011" bottom="0.75200000000000011" header="0.29999999999999999" footer="0.29999999999999999"/>
  <pageSetup paperSize="9" scale="93" fitToWidth="1" fitToHeight="0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9" zoomScale="100" workbookViewId="0">
      <selection activeCell="A455" activeCellId="0" sqref="A455"/>
    </sheetView>
  </sheetViews>
  <sheetFormatPr baseColWidth="10" defaultColWidth="10" defaultRowHeight="16.5"/>
  <cols>
    <col customWidth="1" min="1" max="1" width="62.832000000000001"/>
    <col customWidth="1" min="3" max="4" width="11.004"/>
    <col min="5" max="5" style="3" width="11.004"/>
  </cols>
  <sheetData>
    <row r="2">
      <c r="A2" s="1"/>
      <c r="B2" s="2"/>
      <c r="C2" s="2"/>
      <c r="D2" s="2"/>
    </row>
    <row r="3">
      <c r="A3" s="3"/>
      <c r="B3" s="2"/>
      <c r="C3" s="2"/>
      <c r="D3" s="2"/>
    </row>
    <row r="4">
      <c r="A4" s="3"/>
      <c r="B4" s="2"/>
      <c r="C4" s="2"/>
      <c r="D4" s="2"/>
    </row>
    <row r="5">
      <c r="A5" s="3"/>
      <c r="B5" s="2"/>
      <c r="C5" s="2"/>
      <c r="D5" s="2"/>
    </row>
    <row r="6">
      <c r="A6" s="3"/>
      <c r="B6" s="2"/>
      <c r="C6" s="2"/>
      <c r="D6" s="2"/>
    </row>
    <row r="7">
      <c r="A7" s="3"/>
      <c r="B7" s="2"/>
      <c r="C7" s="2"/>
      <c r="D7" s="2"/>
    </row>
    <row r="8">
      <c r="A8" s="3"/>
      <c r="B8" s="2"/>
      <c r="C8" s="2"/>
      <c r="D8" s="2"/>
    </row>
    <row r="9">
      <c r="A9" s="3"/>
      <c r="B9" s="2"/>
      <c r="C9" s="2"/>
      <c r="D9" s="2"/>
    </row>
    <row r="10">
      <c r="A10" s="3"/>
      <c r="B10" s="2"/>
      <c r="C10" s="2"/>
      <c r="D10" s="2"/>
    </row>
    <row r="11">
      <c r="A11" s="4"/>
      <c r="B11" s="3"/>
      <c r="C11" s="3"/>
      <c r="D11" s="2"/>
    </row>
    <row r="12" ht="17">
      <c r="A12" s="4"/>
      <c r="B12" s="3"/>
      <c r="C12" s="3"/>
      <c r="D12" s="2"/>
    </row>
    <row r="13" ht="49.5">
      <c r="A13" s="5" t="s">
        <v>0</v>
      </c>
      <c r="B13" s="6" t="s">
        <v>1</v>
      </c>
      <c r="C13" s="6"/>
      <c r="D13" s="7" t="s">
        <v>2</v>
      </c>
      <c r="E13" s="7" t="s">
        <v>391</v>
      </c>
    </row>
    <row r="14" ht="23.25">
      <c r="A14" s="8" t="s">
        <v>3</v>
      </c>
      <c r="B14" s="3"/>
      <c r="C14" s="3"/>
      <c r="D14" s="3"/>
    </row>
    <row r="15" ht="18.75">
      <c r="A15" s="4" t="s">
        <v>4</v>
      </c>
      <c r="B15" s="9">
        <v>250</v>
      </c>
      <c r="C15" s="9"/>
      <c r="D15" s="16">
        <v>120</v>
      </c>
      <c r="E15" s="9">
        <f t="shared" ref="E15:E78" si="0">D15/80*100</f>
        <v>150</v>
      </c>
    </row>
    <row r="16" ht="33">
      <c r="A16" s="4" t="s">
        <v>5</v>
      </c>
      <c r="B16" s="9">
        <v>150</v>
      </c>
      <c r="C16" s="9"/>
      <c r="D16" s="16">
        <v>474</v>
      </c>
      <c r="E16" s="10">
        <f t="shared" si="0"/>
        <v>592.5</v>
      </c>
    </row>
    <row r="17" ht="18.75">
      <c r="A17" s="4" t="s">
        <v>6</v>
      </c>
      <c r="B17" s="9" t="s">
        <v>7</v>
      </c>
      <c r="C17" s="9"/>
      <c r="D17" s="16">
        <v>84</v>
      </c>
      <c r="E17" s="9">
        <f t="shared" si="0"/>
        <v>105</v>
      </c>
    </row>
    <row r="18" ht="18.75">
      <c r="A18" s="4" t="s">
        <v>8</v>
      </c>
      <c r="B18" s="9">
        <v>80</v>
      </c>
      <c r="C18" s="9"/>
      <c r="D18" s="16">
        <v>162</v>
      </c>
      <c r="E18" s="10">
        <f t="shared" si="0"/>
        <v>202.5</v>
      </c>
    </row>
    <row r="19" ht="18.75">
      <c r="A19" s="4" t="s">
        <v>9</v>
      </c>
      <c r="B19" s="9">
        <v>110</v>
      </c>
      <c r="C19" s="9"/>
      <c r="D19" s="16">
        <v>378</v>
      </c>
      <c r="E19" s="10">
        <f t="shared" si="0"/>
        <v>472.49999999999994</v>
      </c>
    </row>
    <row r="20" ht="18.75">
      <c r="A20" s="4" t="s">
        <v>10</v>
      </c>
      <c r="B20" s="9">
        <v>110</v>
      </c>
      <c r="C20" s="9"/>
      <c r="D20" s="16">
        <v>300</v>
      </c>
      <c r="E20" s="9">
        <f t="shared" si="0"/>
        <v>375</v>
      </c>
    </row>
    <row r="21" ht="18.75">
      <c r="A21" s="4" t="s">
        <v>11</v>
      </c>
      <c r="B21" s="9">
        <v>150</v>
      </c>
      <c r="C21" s="9"/>
      <c r="D21" s="16">
        <v>390</v>
      </c>
      <c r="E21" s="10">
        <f t="shared" si="0"/>
        <v>487.5</v>
      </c>
    </row>
    <row r="22" ht="18.75">
      <c r="A22" s="4" t="s">
        <v>12</v>
      </c>
      <c r="B22" s="9">
        <v>110</v>
      </c>
      <c r="C22" s="9"/>
      <c r="D22" s="16">
        <v>360</v>
      </c>
      <c r="E22" s="9">
        <f t="shared" si="0"/>
        <v>450</v>
      </c>
    </row>
    <row r="23" ht="18.75">
      <c r="A23" s="4" t="s">
        <v>13</v>
      </c>
      <c r="B23" s="9">
        <v>120</v>
      </c>
      <c r="C23" s="9"/>
      <c r="D23" s="16">
        <v>420</v>
      </c>
      <c r="E23" s="9">
        <f t="shared" si="0"/>
        <v>525</v>
      </c>
    </row>
    <row r="24" ht="18.75">
      <c r="A24" s="4" t="s">
        <v>14</v>
      </c>
      <c r="B24" s="9">
        <v>90</v>
      </c>
      <c r="C24" s="9"/>
      <c r="D24" s="16">
        <v>228</v>
      </c>
      <c r="E24" s="9">
        <f t="shared" si="0"/>
        <v>285</v>
      </c>
    </row>
    <row r="25" ht="18.75">
      <c r="A25" s="4" t="s">
        <v>15</v>
      </c>
      <c r="B25" s="9">
        <v>150</v>
      </c>
      <c r="C25" s="9"/>
      <c r="D25" s="16">
        <v>336</v>
      </c>
      <c r="E25" s="9">
        <f t="shared" si="0"/>
        <v>420</v>
      </c>
    </row>
    <row r="26" ht="18.75">
      <c r="A26" s="4" t="s">
        <v>16</v>
      </c>
      <c r="B26" s="9">
        <v>50</v>
      </c>
      <c r="C26" s="9"/>
      <c r="D26" s="16">
        <v>96</v>
      </c>
      <c r="E26" s="9">
        <f t="shared" si="0"/>
        <v>120</v>
      </c>
    </row>
    <row r="27" ht="18.75">
      <c r="A27" s="4" t="s">
        <v>17</v>
      </c>
      <c r="B27" s="9">
        <v>75</v>
      </c>
      <c r="C27" s="9"/>
      <c r="D27" s="16">
        <v>156</v>
      </c>
      <c r="E27" s="9">
        <f t="shared" si="0"/>
        <v>195</v>
      </c>
    </row>
    <row r="28" ht="18.75">
      <c r="A28" s="4" t="s">
        <v>18</v>
      </c>
      <c r="B28" s="9">
        <v>75</v>
      </c>
      <c r="C28" s="9"/>
      <c r="D28" s="16">
        <v>192</v>
      </c>
      <c r="E28" s="9">
        <f t="shared" si="0"/>
        <v>240</v>
      </c>
    </row>
    <row r="29" ht="23.25">
      <c r="A29" s="8" t="s">
        <v>19</v>
      </c>
      <c r="B29" s="3"/>
      <c r="C29" s="3"/>
      <c r="D29" s="3"/>
    </row>
    <row r="30" ht="18.75">
      <c r="A30" s="4" t="s">
        <v>20</v>
      </c>
      <c r="B30" s="9">
        <v>30</v>
      </c>
      <c r="C30" s="9"/>
      <c r="D30" s="16">
        <v>192</v>
      </c>
      <c r="E30" s="9">
        <f t="shared" si="0"/>
        <v>240</v>
      </c>
    </row>
    <row r="31" ht="18.75">
      <c r="A31" s="4" t="s">
        <v>21</v>
      </c>
      <c r="B31" s="9">
        <v>25</v>
      </c>
      <c r="C31" s="9"/>
      <c r="D31" s="16">
        <v>270</v>
      </c>
      <c r="E31" s="10">
        <f t="shared" si="0"/>
        <v>337.5</v>
      </c>
    </row>
    <row r="32" ht="18.75">
      <c r="A32" s="4" t="s">
        <v>22</v>
      </c>
      <c r="B32" s="9">
        <v>30</v>
      </c>
      <c r="C32" s="9"/>
      <c r="D32" s="16">
        <v>204</v>
      </c>
      <c r="E32" s="9">
        <f t="shared" si="0"/>
        <v>254.99999999999997</v>
      </c>
    </row>
    <row r="33" ht="18.75">
      <c r="A33" s="4" t="s">
        <v>23</v>
      </c>
      <c r="B33" s="9">
        <v>35</v>
      </c>
      <c r="C33" s="9"/>
      <c r="D33" s="16">
        <v>240</v>
      </c>
      <c r="E33" s="9">
        <f t="shared" si="0"/>
        <v>300</v>
      </c>
    </row>
    <row r="34" ht="18.75">
      <c r="A34" s="4" t="s">
        <v>24</v>
      </c>
      <c r="B34" s="9">
        <v>25</v>
      </c>
      <c r="C34" s="9"/>
      <c r="D34" s="16">
        <v>240</v>
      </c>
      <c r="E34" s="9">
        <f t="shared" si="0"/>
        <v>300</v>
      </c>
    </row>
    <row r="35" ht="18.75">
      <c r="A35" s="4" t="s">
        <v>25</v>
      </c>
      <c r="B35" s="9">
        <v>25</v>
      </c>
      <c r="C35" s="9"/>
      <c r="D35" s="16">
        <v>300</v>
      </c>
      <c r="E35" s="9">
        <f t="shared" si="0"/>
        <v>375</v>
      </c>
    </row>
    <row r="36" ht="18.75">
      <c r="A36" s="4" t="s">
        <v>26</v>
      </c>
      <c r="B36" s="9">
        <v>35</v>
      </c>
      <c r="C36" s="9"/>
      <c r="D36" s="16">
        <v>336</v>
      </c>
      <c r="E36" s="9">
        <f t="shared" si="0"/>
        <v>420</v>
      </c>
    </row>
    <row r="37" ht="18.75">
      <c r="A37" s="4" t="s">
        <v>27</v>
      </c>
      <c r="B37" s="9">
        <v>25</v>
      </c>
      <c r="C37" s="9"/>
      <c r="D37" s="16">
        <v>306</v>
      </c>
      <c r="E37" s="10">
        <f t="shared" si="0"/>
        <v>382.5</v>
      </c>
    </row>
    <row r="38" ht="18.75">
      <c r="A38" s="4" t="s">
        <v>28</v>
      </c>
      <c r="B38" s="9">
        <v>30</v>
      </c>
      <c r="C38" s="9"/>
      <c r="D38" s="16">
        <v>498</v>
      </c>
      <c r="E38" s="10">
        <f t="shared" si="0"/>
        <v>622.5</v>
      </c>
    </row>
    <row r="39" ht="18.75">
      <c r="A39" s="4" t="s">
        <v>29</v>
      </c>
      <c r="B39" s="9">
        <v>25</v>
      </c>
      <c r="C39" s="9"/>
      <c r="D39" s="16">
        <v>144</v>
      </c>
      <c r="E39" s="9">
        <f t="shared" si="0"/>
        <v>180</v>
      </c>
    </row>
    <row r="40" ht="18.75">
      <c r="A40" s="4" t="s">
        <v>30</v>
      </c>
      <c r="B40" s="9">
        <v>30</v>
      </c>
      <c r="C40" s="9"/>
      <c r="D40" s="16">
        <v>300</v>
      </c>
      <c r="E40" s="9">
        <f t="shared" si="0"/>
        <v>375</v>
      </c>
    </row>
    <row r="41" ht="18.75">
      <c r="A41" s="4" t="s">
        <v>31</v>
      </c>
      <c r="B41" s="9">
        <v>30</v>
      </c>
      <c r="C41" s="9"/>
      <c r="D41" s="16">
        <v>348</v>
      </c>
      <c r="E41" s="9">
        <f t="shared" si="0"/>
        <v>434.99999999999994</v>
      </c>
    </row>
    <row r="42" ht="18.75">
      <c r="A42" s="4" t="s">
        <v>32</v>
      </c>
      <c r="B42" s="9">
        <v>20</v>
      </c>
      <c r="C42" s="9"/>
      <c r="D42" s="16">
        <v>192</v>
      </c>
      <c r="E42" s="9">
        <f t="shared" si="0"/>
        <v>240</v>
      </c>
    </row>
    <row r="43" ht="18.75">
      <c r="A43" s="4" t="s">
        <v>33</v>
      </c>
      <c r="B43" s="9">
        <v>20</v>
      </c>
      <c r="C43" s="9"/>
      <c r="D43" s="16">
        <v>324</v>
      </c>
      <c r="E43" s="9">
        <f t="shared" si="0"/>
        <v>405</v>
      </c>
    </row>
    <row r="44" ht="18.75">
      <c r="A44" s="4" t="s">
        <v>34</v>
      </c>
      <c r="B44" s="9">
        <v>20</v>
      </c>
      <c r="C44" s="9"/>
      <c r="D44" s="16">
        <v>302</v>
      </c>
      <c r="E44" s="10">
        <f t="shared" si="0"/>
        <v>377.5</v>
      </c>
    </row>
    <row r="45" ht="18.75">
      <c r="A45" s="4" t="s">
        <v>35</v>
      </c>
      <c r="B45" s="9">
        <v>30</v>
      </c>
      <c r="C45" s="9"/>
      <c r="D45" s="16">
        <v>276</v>
      </c>
      <c r="E45" s="9">
        <f t="shared" si="0"/>
        <v>345</v>
      </c>
    </row>
    <row r="46" ht="18.75">
      <c r="A46" s="4" t="s">
        <v>36</v>
      </c>
      <c r="B46" s="9">
        <v>25</v>
      </c>
      <c r="C46" s="9"/>
      <c r="D46" s="16">
        <v>372</v>
      </c>
      <c r="E46" s="9">
        <f t="shared" si="0"/>
        <v>465.00000000000006</v>
      </c>
    </row>
    <row r="47" ht="18.75">
      <c r="A47" s="4" t="s">
        <v>37</v>
      </c>
      <c r="B47" s="9">
        <v>30</v>
      </c>
      <c r="C47" s="9"/>
      <c r="D47" s="16">
        <v>420</v>
      </c>
      <c r="E47" s="9">
        <f t="shared" si="0"/>
        <v>525</v>
      </c>
    </row>
    <row r="48" ht="18.75">
      <c r="A48" s="4" t="s">
        <v>38</v>
      </c>
      <c r="B48" s="9">
        <v>20</v>
      </c>
      <c r="C48" s="9"/>
      <c r="D48" s="16">
        <v>360</v>
      </c>
      <c r="E48" s="9">
        <f t="shared" si="0"/>
        <v>450</v>
      </c>
    </row>
    <row r="49" ht="18.75">
      <c r="A49" s="4" t="s">
        <v>39</v>
      </c>
      <c r="B49" s="9">
        <v>30</v>
      </c>
      <c r="C49" s="9"/>
      <c r="D49" s="16">
        <v>426</v>
      </c>
      <c r="E49" s="10">
        <f t="shared" si="0"/>
        <v>532.5</v>
      </c>
    </row>
    <row r="50" ht="18.75">
      <c r="A50" s="4" t="s">
        <v>40</v>
      </c>
      <c r="B50" s="9">
        <v>40</v>
      </c>
      <c r="C50" s="9"/>
      <c r="D50" s="16">
        <v>324</v>
      </c>
      <c r="E50" s="9">
        <f t="shared" si="0"/>
        <v>405</v>
      </c>
    </row>
    <row r="51" ht="18.75">
      <c r="A51" s="4" t="s">
        <v>41</v>
      </c>
      <c r="B51" s="9">
        <v>30</v>
      </c>
      <c r="C51" s="9"/>
      <c r="D51" s="16">
        <v>204</v>
      </c>
      <c r="E51" s="9">
        <f t="shared" si="0"/>
        <v>254.99999999999997</v>
      </c>
    </row>
    <row r="52" ht="18.75">
      <c r="A52" s="4" t="s">
        <v>42</v>
      </c>
      <c r="B52" s="9">
        <v>25</v>
      </c>
      <c r="C52" s="9"/>
      <c r="D52" s="16">
        <v>156</v>
      </c>
      <c r="E52" s="9">
        <f t="shared" si="0"/>
        <v>195</v>
      </c>
    </row>
    <row r="53" ht="18.75">
      <c r="A53" s="4" t="s">
        <v>43</v>
      </c>
      <c r="B53" s="9">
        <v>25</v>
      </c>
      <c r="C53" s="9"/>
      <c r="D53" s="16">
        <v>156</v>
      </c>
      <c r="E53" s="9">
        <f t="shared" si="0"/>
        <v>195</v>
      </c>
    </row>
    <row r="54" ht="18.75">
      <c r="A54" s="4" t="s">
        <v>44</v>
      </c>
      <c r="B54" s="9">
        <v>25</v>
      </c>
      <c r="C54" s="9"/>
      <c r="D54" s="16">
        <v>306</v>
      </c>
      <c r="E54" s="10">
        <f t="shared" si="0"/>
        <v>382.5</v>
      </c>
    </row>
    <row r="55" ht="18.75">
      <c r="A55" s="4" t="s">
        <v>45</v>
      </c>
      <c r="B55" s="9">
        <v>25</v>
      </c>
      <c r="C55" s="9"/>
      <c r="D55" s="16">
        <v>252</v>
      </c>
      <c r="E55" s="9">
        <f t="shared" si="0"/>
        <v>315</v>
      </c>
    </row>
    <row r="56" ht="18.75">
      <c r="A56" s="4" t="s">
        <v>46</v>
      </c>
      <c r="B56" s="9">
        <v>25</v>
      </c>
      <c r="C56" s="9"/>
      <c r="D56" s="16">
        <v>144</v>
      </c>
      <c r="E56" s="9">
        <f t="shared" si="0"/>
        <v>180</v>
      </c>
    </row>
    <row r="57" ht="18.75">
      <c r="A57" s="4" t="s">
        <v>47</v>
      </c>
      <c r="B57" s="9">
        <v>100</v>
      </c>
      <c r="C57" s="9"/>
      <c r="D57" s="16">
        <v>288</v>
      </c>
      <c r="E57" s="9">
        <f t="shared" si="0"/>
        <v>360</v>
      </c>
    </row>
    <row r="58" ht="18.75">
      <c r="A58" s="4" t="s">
        <v>48</v>
      </c>
      <c r="B58" s="9">
        <v>25</v>
      </c>
      <c r="C58" s="9"/>
      <c r="D58" s="16">
        <v>270</v>
      </c>
      <c r="E58" s="10">
        <f t="shared" si="0"/>
        <v>337.5</v>
      </c>
    </row>
    <row r="59" ht="18.75">
      <c r="A59" s="4" t="s">
        <v>49</v>
      </c>
      <c r="B59" s="9">
        <v>25</v>
      </c>
      <c r="C59" s="9"/>
      <c r="D59" s="16">
        <v>138</v>
      </c>
      <c r="E59" s="10">
        <f t="shared" si="0"/>
        <v>172.5</v>
      </c>
    </row>
    <row r="60" ht="18.75">
      <c r="A60" s="4" t="s">
        <v>50</v>
      </c>
      <c r="B60" s="9">
        <v>40</v>
      </c>
      <c r="C60" s="9"/>
      <c r="D60" s="16">
        <v>204</v>
      </c>
      <c r="E60" s="9">
        <f t="shared" si="0"/>
        <v>254.99999999999997</v>
      </c>
    </row>
    <row r="61" ht="18.75">
      <c r="A61" s="4" t="s">
        <v>51</v>
      </c>
      <c r="B61" s="9">
        <v>35</v>
      </c>
      <c r="C61" s="9"/>
      <c r="D61" s="16">
        <v>288</v>
      </c>
      <c r="E61" s="9">
        <f t="shared" si="0"/>
        <v>360</v>
      </c>
    </row>
    <row r="62" ht="18.75">
      <c r="A62" s="4" t="s">
        <v>52</v>
      </c>
      <c r="B62" s="9">
        <v>30</v>
      </c>
      <c r="C62" s="9"/>
      <c r="D62" s="16">
        <v>264</v>
      </c>
      <c r="E62" s="9">
        <f t="shared" si="0"/>
        <v>330</v>
      </c>
    </row>
    <row r="63" ht="18.75">
      <c r="A63" s="4" t="s">
        <v>53</v>
      </c>
      <c r="B63" s="9">
        <v>30</v>
      </c>
      <c r="C63" s="9"/>
      <c r="D63" s="16">
        <v>204</v>
      </c>
      <c r="E63" s="9">
        <f t="shared" si="0"/>
        <v>254.99999999999997</v>
      </c>
    </row>
    <row r="64" ht="18.75">
      <c r="A64" s="4" t="s">
        <v>54</v>
      </c>
      <c r="B64" s="9">
        <v>25</v>
      </c>
      <c r="C64" s="9"/>
      <c r="D64" s="16">
        <v>336</v>
      </c>
      <c r="E64" s="9">
        <f t="shared" si="0"/>
        <v>420</v>
      </c>
    </row>
    <row r="65" ht="21">
      <c r="A65" s="4" t="s">
        <v>55</v>
      </c>
      <c r="B65" s="9">
        <v>20</v>
      </c>
      <c r="C65" s="9"/>
      <c r="D65" s="16">
        <v>144</v>
      </c>
      <c r="E65" s="9">
        <f t="shared" si="0"/>
        <v>180</v>
      </c>
    </row>
    <row r="66" ht="34">
      <c r="A66" s="4" t="s">
        <v>56</v>
      </c>
      <c r="B66" s="9">
        <v>30</v>
      </c>
      <c r="C66" s="9"/>
      <c r="D66" s="16">
        <v>222</v>
      </c>
      <c r="E66" s="10">
        <f t="shared" si="0"/>
        <v>277.5</v>
      </c>
    </row>
    <row r="67" ht="34">
      <c r="A67" s="4" t="s">
        <v>57</v>
      </c>
      <c r="B67" s="9">
        <v>30</v>
      </c>
      <c r="C67" s="9"/>
      <c r="D67" s="16">
        <v>276</v>
      </c>
      <c r="E67" s="9">
        <f t="shared" si="0"/>
        <v>345</v>
      </c>
    </row>
    <row r="68" ht="21">
      <c r="A68" s="4" t="s">
        <v>58</v>
      </c>
      <c r="B68" s="9">
        <v>25</v>
      </c>
      <c r="C68" s="9"/>
      <c r="D68" s="16">
        <v>288</v>
      </c>
      <c r="E68" s="9">
        <f t="shared" si="0"/>
        <v>360</v>
      </c>
    </row>
    <row r="69" ht="21">
      <c r="A69" s="4" t="s">
        <v>59</v>
      </c>
      <c r="B69" s="9">
        <v>25</v>
      </c>
      <c r="C69" s="9"/>
      <c r="D69" s="16">
        <v>252</v>
      </c>
      <c r="E69" s="9">
        <f t="shared" si="0"/>
        <v>315</v>
      </c>
    </row>
    <row r="70" ht="21">
      <c r="A70" s="4" t="s">
        <v>60</v>
      </c>
      <c r="B70" s="9">
        <v>25</v>
      </c>
      <c r="C70" s="9"/>
      <c r="D70" s="16">
        <v>252</v>
      </c>
      <c r="E70" s="9">
        <f t="shared" si="0"/>
        <v>315</v>
      </c>
    </row>
    <row r="71" ht="21">
      <c r="A71" s="4" t="s">
        <v>61</v>
      </c>
      <c r="B71" s="9">
        <v>30</v>
      </c>
      <c r="C71" s="9"/>
      <c r="D71" s="16">
        <v>276</v>
      </c>
      <c r="E71" s="9">
        <f t="shared" si="0"/>
        <v>345</v>
      </c>
    </row>
    <row r="72" ht="21">
      <c r="A72" s="4" t="s">
        <v>62</v>
      </c>
      <c r="B72" s="9">
        <v>30</v>
      </c>
      <c r="C72" s="9"/>
      <c r="D72" s="16">
        <v>276</v>
      </c>
      <c r="E72" s="9">
        <f t="shared" si="0"/>
        <v>345</v>
      </c>
    </row>
    <row r="73" ht="21">
      <c r="A73" s="4" t="s">
        <v>63</v>
      </c>
      <c r="B73" s="9">
        <v>25</v>
      </c>
      <c r="C73" s="9"/>
      <c r="D73" s="16">
        <v>234</v>
      </c>
      <c r="E73" s="10">
        <f t="shared" si="0"/>
        <v>292.5</v>
      </c>
    </row>
    <row r="74">
      <c r="A74" s="4"/>
      <c r="B74" s="3"/>
      <c r="C74" s="3"/>
      <c r="D74" s="3"/>
    </row>
    <row r="75" ht="25">
      <c r="A75" s="8" t="s">
        <v>64</v>
      </c>
      <c r="B75" s="3"/>
      <c r="C75" s="3"/>
      <c r="D75" s="3"/>
    </row>
    <row r="76" ht="21">
      <c r="A76" s="4" t="s">
        <v>65</v>
      </c>
      <c r="B76" s="9">
        <v>37</v>
      </c>
      <c r="C76" s="9"/>
      <c r="D76" s="16">
        <v>204</v>
      </c>
      <c r="E76" s="9">
        <f t="shared" si="0"/>
        <v>254.99999999999997</v>
      </c>
    </row>
    <row r="77" ht="21">
      <c r="A77" s="4" t="s">
        <v>66</v>
      </c>
      <c r="B77" s="9">
        <v>30</v>
      </c>
      <c r="C77" s="9"/>
      <c r="D77" s="16">
        <v>288</v>
      </c>
      <c r="E77" s="9">
        <f t="shared" si="0"/>
        <v>360</v>
      </c>
    </row>
    <row r="78" ht="21">
      <c r="A78" s="4" t="s">
        <v>67</v>
      </c>
      <c r="B78" s="9">
        <v>30</v>
      </c>
      <c r="C78" s="9"/>
      <c r="D78" s="16">
        <v>216</v>
      </c>
      <c r="E78" s="9">
        <f t="shared" si="0"/>
        <v>270</v>
      </c>
    </row>
    <row r="79" ht="21">
      <c r="A79" s="4" t="s">
        <v>68</v>
      </c>
      <c r="B79" s="9">
        <v>30</v>
      </c>
      <c r="C79" s="9"/>
      <c r="D79" s="16">
        <v>342</v>
      </c>
      <c r="E79" s="10">
        <f t="shared" ref="E79:E97" si="1">D79/80*100</f>
        <v>427.50000000000006</v>
      </c>
    </row>
    <row r="80" ht="21">
      <c r="A80" s="4" t="s">
        <v>69</v>
      </c>
      <c r="B80" s="9">
        <v>37</v>
      </c>
      <c r="C80" s="9"/>
      <c r="D80" s="16">
        <v>300</v>
      </c>
      <c r="E80" s="9">
        <f t="shared" si="1"/>
        <v>375</v>
      </c>
    </row>
    <row r="81" ht="21">
      <c r="A81" s="4" t="s">
        <v>70</v>
      </c>
      <c r="B81" s="9">
        <v>37</v>
      </c>
      <c r="C81" s="9"/>
      <c r="D81" s="16">
        <v>234</v>
      </c>
      <c r="E81" s="10">
        <f t="shared" si="1"/>
        <v>292.5</v>
      </c>
    </row>
    <row r="82" ht="21">
      <c r="A82" s="4" t="s">
        <v>71</v>
      </c>
      <c r="B82" s="9">
        <v>37</v>
      </c>
      <c r="C82" s="9"/>
      <c r="D82" s="16">
        <v>252</v>
      </c>
      <c r="E82" s="9">
        <f t="shared" si="1"/>
        <v>315</v>
      </c>
    </row>
    <row r="83">
      <c r="A83" s="4"/>
      <c r="B83" s="3"/>
      <c r="C83" s="3"/>
      <c r="D83" s="3"/>
    </row>
    <row r="84" ht="25">
      <c r="A84" s="8" t="s">
        <v>72</v>
      </c>
      <c r="B84" s="3"/>
      <c r="C84" s="3"/>
      <c r="D84" s="3"/>
    </row>
    <row r="85" ht="21">
      <c r="A85" s="4" t="s">
        <v>73</v>
      </c>
      <c r="B85" s="9">
        <v>50</v>
      </c>
      <c r="C85" s="9"/>
      <c r="D85" s="16">
        <v>300</v>
      </c>
      <c r="E85" s="9">
        <f t="shared" si="1"/>
        <v>375</v>
      </c>
    </row>
    <row r="86" ht="21">
      <c r="A86" s="4" t="s">
        <v>74</v>
      </c>
      <c r="B86" s="9">
        <v>50</v>
      </c>
      <c r="C86" s="9"/>
      <c r="D86" s="16">
        <v>354</v>
      </c>
      <c r="E86" s="10">
        <f t="shared" si="1"/>
        <v>442.5</v>
      </c>
    </row>
    <row r="87" ht="21">
      <c r="A87" s="4" t="s">
        <v>75</v>
      </c>
      <c r="B87" s="9">
        <v>50</v>
      </c>
      <c r="C87" s="9"/>
      <c r="D87" s="16">
        <v>372</v>
      </c>
      <c r="E87" s="9">
        <f t="shared" si="1"/>
        <v>465.00000000000006</v>
      </c>
    </row>
    <row r="88" ht="21">
      <c r="A88" s="4" t="s">
        <v>76</v>
      </c>
      <c r="B88" s="9">
        <v>50</v>
      </c>
      <c r="C88" s="9"/>
      <c r="D88" s="16">
        <v>276</v>
      </c>
      <c r="E88" s="9">
        <f t="shared" si="1"/>
        <v>345</v>
      </c>
    </row>
    <row r="89" ht="21">
      <c r="A89" s="4" t="s">
        <v>77</v>
      </c>
      <c r="B89" s="9">
        <v>50</v>
      </c>
      <c r="C89" s="9"/>
      <c r="D89" s="16">
        <v>324</v>
      </c>
      <c r="E89" s="9">
        <f t="shared" si="1"/>
        <v>405</v>
      </c>
    </row>
    <row r="90" ht="21">
      <c r="A90" s="4" t="s">
        <v>78</v>
      </c>
      <c r="B90" s="9">
        <v>50</v>
      </c>
      <c r="C90" s="9"/>
      <c r="D90" s="16">
        <v>264</v>
      </c>
      <c r="E90" s="9">
        <f t="shared" si="1"/>
        <v>330</v>
      </c>
    </row>
    <row r="91">
      <c r="A91" s="4"/>
      <c r="B91" s="3"/>
      <c r="C91" s="3"/>
      <c r="D91" s="3"/>
    </row>
    <row r="92" ht="50">
      <c r="A92" s="8" t="s">
        <v>79</v>
      </c>
      <c r="B92" s="3"/>
      <c r="C92" s="3"/>
      <c r="D92" s="3"/>
    </row>
    <row r="93" ht="21">
      <c r="A93" s="4" t="s">
        <v>80</v>
      </c>
      <c r="B93" s="9">
        <v>35</v>
      </c>
      <c r="C93" s="9"/>
      <c r="D93" s="16">
        <v>186</v>
      </c>
      <c r="E93" s="10">
        <f t="shared" si="1"/>
        <v>232.50000000000003</v>
      </c>
    </row>
    <row r="94" ht="21">
      <c r="A94" s="4" t="s">
        <v>81</v>
      </c>
      <c r="B94" s="9">
        <v>35</v>
      </c>
      <c r="C94" s="9"/>
      <c r="D94" s="16">
        <v>234</v>
      </c>
      <c r="E94" s="10">
        <f t="shared" si="1"/>
        <v>292.5</v>
      </c>
    </row>
    <row r="95" ht="21">
      <c r="A95" s="4" t="s">
        <v>82</v>
      </c>
      <c r="B95" s="9">
        <v>35</v>
      </c>
      <c r="C95" s="9"/>
      <c r="D95" s="16">
        <v>186</v>
      </c>
      <c r="E95" s="10">
        <f t="shared" si="1"/>
        <v>232.50000000000003</v>
      </c>
    </row>
    <row r="96" ht="21">
      <c r="A96" s="4" t="s">
        <v>83</v>
      </c>
      <c r="B96" s="9">
        <v>35</v>
      </c>
      <c r="C96" s="9"/>
      <c r="D96" s="16">
        <v>168</v>
      </c>
      <c r="E96" s="9">
        <f t="shared" si="1"/>
        <v>210</v>
      </c>
    </row>
    <row r="97" ht="21">
      <c r="A97" s="4" t="s">
        <v>84</v>
      </c>
      <c r="B97" s="9">
        <v>35</v>
      </c>
      <c r="C97" s="9"/>
      <c r="D97" s="16">
        <v>168</v>
      </c>
      <c r="E97" s="9">
        <f t="shared" si="1"/>
        <v>210</v>
      </c>
    </row>
    <row r="98">
      <c r="A98" s="4"/>
      <c r="B98" s="3"/>
      <c r="C98" s="3"/>
      <c r="D98" s="3"/>
      <c r="E98" s="9"/>
    </row>
    <row r="99" ht="25">
      <c r="A99" s="8" t="s">
        <v>85</v>
      </c>
      <c r="B99" s="3"/>
      <c r="C99" s="3"/>
      <c r="D99" s="3"/>
    </row>
    <row r="100" ht="21">
      <c r="A100" s="4" t="s">
        <v>86</v>
      </c>
      <c r="B100" s="9">
        <v>25</v>
      </c>
      <c r="C100" s="9"/>
      <c r="D100" s="16">
        <v>186</v>
      </c>
      <c r="E100" s="10">
        <f t="shared" ref="E100:E163" si="2">D100/80*100</f>
        <v>232.50000000000003</v>
      </c>
    </row>
    <row r="101" ht="21">
      <c r="A101" s="4" t="s">
        <v>87</v>
      </c>
      <c r="B101" s="9">
        <v>25</v>
      </c>
      <c r="C101" s="9"/>
      <c r="D101" s="16">
        <v>186</v>
      </c>
      <c r="E101" s="10">
        <f t="shared" si="2"/>
        <v>232.50000000000003</v>
      </c>
    </row>
    <row r="102" ht="21">
      <c r="A102" s="4" t="s">
        <v>88</v>
      </c>
      <c r="B102" s="9">
        <v>25</v>
      </c>
      <c r="C102" s="9"/>
      <c r="D102" s="16">
        <v>168</v>
      </c>
      <c r="E102" s="9">
        <f t="shared" si="2"/>
        <v>210</v>
      </c>
    </row>
    <row r="103" ht="21">
      <c r="A103" s="4" t="s">
        <v>89</v>
      </c>
      <c r="B103" s="9">
        <v>25</v>
      </c>
      <c r="C103" s="9"/>
      <c r="D103" s="16">
        <v>168</v>
      </c>
      <c r="E103" s="9">
        <f t="shared" si="2"/>
        <v>210</v>
      </c>
    </row>
    <row r="104">
      <c r="A104" s="4"/>
      <c r="B104" s="3"/>
      <c r="C104" s="3"/>
      <c r="D104" s="3"/>
    </row>
    <row r="105" ht="25">
      <c r="A105" s="8" t="s">
        <v>90</v>
      </c>
      <c r="B105" s="3"/>
      <c r="C105" s="3"/>
      <c r="D105" s="3"/>
    </row>
    <row r="106" ht="21">
      <c r="A106" s="4" t="s">
        <v>91</v>
      </c>
      <c r="B106" s="9">
        <v>30</v>
      </c>
      <c r="C106" s="9"/>
      <c r="D106" s="16">
        <v>264</v>
      </c>
      <c r="E106" s="9">
        <f t="shared" si="2"/>
        <v>330</v>
      </c>
    </row>
    <row r="107" ht="21">
      <c r="A107" s="4" t="s">
        <v>92</v>
      </c>
      <c r="B107" s="9">
        <v>30</v>
      </c>
      <c r="C107" s="9"/>
      <c r="D107" s="16">
        <v>264</v>
      </c>
      <c r="E107" s="9">
        <f t="shared" si="2"/>
        <v>330</v>
      </c>
    </row>
    <row r="108" ht="21">
      <c r="A108" s="4" t="s">
        <v>93</v>
      </c>
      <c r="B108" s="9">
        <v>35</v>
      </c>
      <c r="C108" s="9"/>
      <c r="D108" s="16">
        <v>420</v>
      </c>
      <c r="E108" s="9">
        <f t="shared" si="2"/>
        <v>525</v>
      </c>
    </row>
    <row r="109" ht="21">
      <c r="A109" s="4" t="s">
        <v>94</v>
      </c>
      <c r="B109" s="9">
        <v>35</v>
      </c>
      <c r="C109" s="9"/>
      <c r="D109" s="16">
        <v>324</v>
      </c>
      <c r="E109" s="9">
        <f t="shared" si="2"/>
        <v>405</v>
      </c>
    </row>
    <row r="110" ht="21">
      <c r="A110" s="4" t="s">
        <v>95</v>
      </c>
      <c r="B110" s="9">
        <v>35</v>
      </c>
      <c r="C110" s="9"/>
      <c r="D110" s="16">
        <v>432</v>
      </c>
      <c r="E110" s="9">
        <f t="shared" si="2"/>
        <v>540</v>
      </c>
    </row>
    <row r="111" ht="21">
      <c r="A111" s="4" t="s">
        <v>96</v>
      </c>
      <c r="B111" s="9">
        <v>35</v>
      </c>
      <c r="C111" s="9"/>
      <c r="D111" s="16">
        <v>420</v>
      </c>
      <c r="E111" s="9">
        <f t="shared" si="2"/>
        <v>525</v>
      </c>
    </row>
    <row r="112" ht="21">
      <c r="A112" s="4" t="s">
        <v>97</v>
      </c>
      <c r="B112" s="9">
        <v>30</v>
      </c>
      <c r="C112" s="9"/>
      <c r="D112" s="16">
        <v>414</v>
      </c>
      <c r="E112" s="10">
        <f t="shared" si="2"/>
        <v>517.5</v>
      </c>
    </row>
    <row r="113" ht="21">
      <c r="A113" s="4" t="s">
        <v>98</v>
      </c>
      <c r="B113" s="9">
        <v>35</v>
      </c>
      <c r="C113" s="9"/>
      <c r="D113" s="16">
        <v>384</v>
      </c>
      <c r="E113" s="9">
        <f t="shared" si="2"/>
        <v>480</v>
      </c>
    </row>
    <row r="114" ht="21">
      <c r="A114" s="4" t="s">
        <v>99</v>
      </c>
      <c r="B114" s="9">
        <v>30</v>
      </c>
      <c r="C114" s="9"/>
      <c r="D114" s="16">
        <v>252</v>
      </c>
      <c r="E114" s="9">
        <f t="shared" si="2"/>
        <v>315</v>
      </c>
    </row>
    <row r="115" ht="21">
      <c r="A115" s="4" t="s">
        <v>100</v>
      </c>
      <c r="B115" s="9">
        <v>35</v>
      </c>
      <c r="C115" s="9"/>
      <c r="D115" s="16">
        <v>252</v>
      </c>
      <c r="E115" s="9">
        <f t="shared" si="2"/>
        <v>315</v>
      </c>
    </row>
    <row r="116" ht="21">
      <c r="A116" s="4" t="s">
        <v>101</v>
      </c>
      <c r="B116" s="9">
        <v>35</v>
      </c>
      <c r="C116" s="9"/>
      <c r="D116" s="16">
        <v>252</v>
      </c>
      <c r="E116" s="9">
        <f t="shared" si="2"/>
        <v>315</v>
      </c>
    </row>
    <row r="117" ht="21">
      <c r="A117" s="4" t="s">
        <v>102</v>
      </c>
      <c r="B117" s="9">
        <v>35</v>
      </c>
      <c r="C117" s="9"/>
      <c r="D117" s="16">
        <v>270</v>
      </c>
      <c r="E117" s="10">
        <f t="shared" si="2"/>
        <v>337.5</v>
      </c>
    </row>
    <row r="118" ht="21">
      <c r="A118" s="4" t="s">
        <v>103</v>
      </c>
      <c r="B118" s="9">
        <v>35</v>
      </c>
      <c r="C118" s="9"/>
      <c r="D118" s="16">
        <v>270</v>
      </c>
      <c r="E118" s="10">
        <f t="shared" si="2"/>
        <v>337.5</v>
      </c>
    </row>
    <row r="119" ht="21">
      <c r="A119" s="4" t="s">
        <v>104</v>
      </c>
      <c r="B119" s="9">
        <v>35</v>
      </c>
      <c r="C119" s="9"/>
      <c r="D119" s="16">
        <v>180</v>
      </c>
      <c r="E119" s="9">
        <f t="shared" si="2"/>
        <v>225</v>
      </c>
    </row>
    <row r="120" ht="21">
      <c r="A120" s="4" t="s">
        <v>105</v>
      </c>
      <c r="B120" s="9">
        <v>30</v>
      </c>
      <c r="C120" s="9"/>
      <c r="D120" s="16">
        <v>228</v>
      </c>
      <c r="E120" s="9">
        <f t="shared" si="2"/>
        <v>285</v>
      </c>
    </row>
    <row r="121">
      <c r="A121" s="4"/>
      <c r="B121" s="3"/>
      <c r="C121" s="3"/>
      <c r="D121" s="3"/>
    </row>
    <row r="122" ht="25">
      <c r="A122" s="8" t="s">
        <v>106</v>
      </c>
      <c r="B122" s="3"/>
      <c r="C122" s="3"/>
      <c r="D122" s="3"/>
    </row>
    <row r="123" ht="21">
      <c r="A123" s="4" t="s">
        <v>107</v>
      </c>
      <c r="B123" s="9">
        <v>50</v>
      </c>
      <c r="C123" s="9"/>
      <c r="D123" s="16">
        <v>312</v>
      </c>
      <c r="E123" s="9">
        <f t="shared" si="2"/>
        <v>390</v>
      </c>
    </row>
    <row r="124" ht="21">
      <c r="A124" s="4" t="s">
        <v>108</v>
      </c>
      <c r="B124" s="9">
        <v>50</v>
      </c>
      <c r="C124" s="9"/>
      <c r="D124" s="16">
        <v>354</v>
      </c>
      <c r="E124" s="10">
        <f t="shared" si="2"/>
        <v>442.5</v>
      </c>
    </row>
    <row r="125" ht="21">
      <c r="A125" s="4" t="s">
        <v>96</v>
      </c>
      <c r="B125" s="9">
        <v>50</v>
      </c>
      <c r="C125" s="9"/>
      <c r="D125" s="16">
        <v>354</v>
      </c>
      <c r="E125" s="10">
        <f t="shared" si="2"/>
        <v>442.5</v>
      </c>
    </row>
    <row r="126" ht="21">
      <c r="A126" s="4" t="s">
        <v>109</v>
      </c>
      <c r="B126" s="9">
        <v>50</v>
      </c>
      <c r="C126" s="9"/>
      <c r="D126" s="16">
        <v>336</v>
      </c>
      <c r="E126" s="9">
        <f t="shared" si="2"/>
        <v>420</v>
      </c>
    </row>
    <row r="127" ht="21">
      <c r="A127" s="4" t="s">
        <v>110</v>
      </c>
      <c r="B127" s="9">
        <v>50</v>
      </c>
      <c r="C127" s="9"/>
      <c r="D127" s="16">
        <v>306</v>
      </c>
      <c r="E127" s="10">
        <f t="shared" si="2"/>
        <v>382.5</v>
      </c>
    </row>
    <row r="128" ht="21">
      <c r="A128" s="4" t="s">
        <v>111</v>
      </c>
      <c r="B128" s="9">
        <v>50</v>
      </c>
      <c r="C128" s="9"/>
      <c r="D128" s="16">
        <v>276</v>
      </c>
      <c r="E128" s="9">
        <f t="shared" si="2"/>
        <v>345</v>
      </c>
    </row>
    <row r="129" ht="21">
      <c r="A129" s="4" t="s">
        <v>112</v>
      </c>
      <c r="B129" s="9">
        <v>50</v>
      </c>
      <c r="C129" s="9"/>
      <c r="D129" s="16">
        <v>228</v>
      </c>
      <c r="E129" s="9">
        <f t="shared" si="2"/>
        <v>285</v>
      </c>
    </row>
    <row r="130" ht="21">
      <c r="A130" s="4" t="s">
        <v>113</v>
      </c>
      <c r="B130" s="9">
        <v>50</v>
      </c>
      <c r="C130" s="9"/>
      <c r="D130" s="16">
        <v>204</v>
      </c>
      <c r="E130" s="9">
        <f t="shared" si="2"/>
        <v>254.99999999999997</v>
      </c>
    </row>
    <row r="131" ht="21">
      <c r="A131" s="4" t="s">
        <v>114</v>
      </c>
      <c r="B131" s="9">
        <v>50</v>
      </c>
      <c r="C131" s="9"/>
      <c r="D131" s="16">
        <v>234</v>
      </c>
      <c r="E131" s="10">
        <f t="shared" si="2"/>
        <v>292.5</v>
      </c>
    </row>
    <row r="132" ht="21">
      <c r="A132" s="4" t="s">
        <v>115</v>
      </c>
      <c r="B132" s="9">
        <v>50</v>
      </c>
      <c r="C132" s="9"/>
      <c r="D132" s="16">
        <v>294</v>
      </c>
      <c r="E132" s="10">
        <f t="shared" si="2"/>
        <v>367.5</v>
      </c>
    </row>
    <row r="133" ht="21">
      <c r="A133" s="4" t="s">
        <v>116</v>
      </c>
      <c r="B133" s="9">
        <v>50</v>
      </c>
      <c r="C133" s="9"/>
      <c r="D133" s="16">
        <v>282</v>
      </c>
      <c r="E133" s="10">
        <f t="shared" si="2"/>
        <v>352.5</v>
      </c>
    </row>
    <row r="134">
      <c r="A134" s="4"/>
      <c r="B134" s="3"/>
      <c r="C134" s="3"/>
      <c r="D134" s="3"/>
    </row>
    <row r="135" ht="25">
      <c r="A135" s="8" t="s">
        <v>117</v>
      </c>
      <c r="B135" s="3"/>
      <c r="C135" s="3"/>
      <c r="D135" s="3"/>
    </row>
    <row r="136" ht="21">
      <c r="A136" s="4" t="s">
        <v>118</v>
      </c>
      <c r="B136" s="9">
        <v>50</v>
      </c>
      <c r="C136" s="9"/>
      <c r="D136" s="16">
        <v>252</v>
      </c>
      <c r="E136" s="9">
        <f t="shared" si="2"/>
        <v>315</v>
      </c>
    </row>
    <row r="137" ht="21">
      <c r="A137" s="4" t="s">
        <v>119</v>
      </c>
      <c r="B137" s="9">
        <v>50</v>
      </c>
      <c r="C137" s="9"/>
      <c r="D137" s="16">
        <v>252</v>
      </c>
      <c r="E137" s="9">
        <f t="shared" si="2"/>
        <v>315</v>
      </c>
    </row>
    <row r="138" ht="21">
      <c r="A138" s="4" t="s">
        <v>120</v>
      </c>
      <c r="B138" s="9">
        <v>50</v>
      </c>
      <c r="C138" s="9"/>
      <c r="D138" s="16">
        <v>270</v>
      </c>
      <c r="E138" s="10">
        <f t="shared" si="2"/>
        <v>337.5</v>
      </c>
    </row>
    <row r="139" ht="21">
      <c r="A139" s="4" t="s">
        <v>121</v>
      </c>
      <c r="B139" s="9">
        <v>50</v>
      </c>
      <c r="C139" s="9"/>
      <c r="D139" s="16">
        <v>222</v>
      </c>
      <c r="E139" s="10">
        <f t="shared" si="2"/>
        <v>277.5</v>
      </c>
    </row>
    <row r="140">
      <c r="A140" s="4"/>
      <c r="B140" s="3"/>
      <c r="C140" s="3"/>
      <c r="D140" s="3"/>
    </row>
    <row r="141" ht="25">
      <c r="A141" s="8" t="s">
        <v>122</v>
      </c>
      <c r="B141" s="3"/>
      <c r="C141" s="3"/>
      <c r="D141" s="3"/>
    </row>
    <row r="142" ht="21">
      <c r="A142" s="4" t="s">
        <v>123</v>
      </c>
      <c r="B142" s="9">
        <v>50</v>
      </c>
      <c r="C142" s="9"/>
      <c r="D142" s="16">
        <v>135</v>
      </c>
      <c r="E142" s="10">
        <f t="shared" si="2"/>
        <v>168.75</v>
      </c>
    </row>
    <row r="143" ht="21">
      <c r="A143" s="4" t="s">
        <v>124</v>
      </c>
      <c r="B143" s="9">
        <v>50</v>
      </c>
      <c r="C143" s="9"/>
      <c r="D143" s="16">
        <v>135</v>
      </c>
      <c r="E143" s="10">
        <f t="shared" si="2"/>
        <v>168.75</v>
      </c>
    </row>
    <row r="144" ht="21">
      <c r="A144" s="4" t="s">
        <v>125</v>
      </c>
      <c r="B144" s="9">
        <v>50</v>
      </c>
      <c r="C144" s="9"/>
      <c r="D144" s="16">
        <v>189</v>
      </c>
      <c r="E144" s="10">
        <f t="shared" si="2"/>
        <v>236.24999999999997</v>
      </c>
    </row>
    <row r="145" ht="21">
      <c r="A145" s="4" t="s">
        <v>126</v>
      </c>
      <c r="B145" s="9">
        <v>50</v>
      </c>
      <c r="C145" s="9"/>
      <c r="D145" s="16">
        <v>135</v>
      </c>
      <c r="E145" s="10">
        <f t="shared" si="2"/>
        <v>168.75</v>
      </c>
    </row>
    <row r="146">
      <c r="A146" s="4"/>
      <c r="B146" s="3"/>
      <c r="C146" s="3"/>
      <c r="D146" s="3"/>
    </row>
    <row r="147" ht="25">
      <c r="A147" s="8" t="s">
        <v>127</v>
      </c>
      <c r="B147" s="3"/>
      <c r="C147" s="3"/>
      <c r="D147" s="3"/>
    </row>
    <row r="148" ht="21">
      <c r="A148" s="4" t="s">
        <v>128</v>
      </c>
      <c r="B148" s="9">
        <v>40</v>
      </c>
      <c r="C148" s="9"/>
      <c r="D148" s="16">
        <v>222</v>
      </c>
      <c r="E148" s="10">
        <f t="shared" si="2"/>
        <v>277.5</v>
      </c>
    </row>
    <row r="149" ht="21">
      <c r="A149" s="4" t="s">
        <v>129</v>
      </c>
      <c r="B149" s="9">
        <v>40</v>
      </c>
      <c r="C149" s="9"/>
      <c r="D149" s="16">
        <v>186</v>
      </c>
      <c r="E149" s="10">
        <f t="shared" si="2"/>
        <v>232.50000000000003</v>
      </c>
    </row>
    <row r="150" ht="34">
      <c r="A150" s="4" t="s">
        <v>130</v>
      </c>
      <c r="B150" s="9">
        <v>40</v>
      </c>
      <c r="C150" s="9"/>
      <c r="D150" s="16">
        <v>204</v>
      </c>
      <c r="E150" s="9">
        <f t="shared" si="2"/>
        <v>254.99999999999997</v>
      </c>
    </row>
    <row r="151" ht="21">
      <c r="A151" s="4" t="s">
        <v>131</v>
      </c>
      <c r="B151" s="9">
        <v>40</v>
      </c>
      <c r="C151" s="9"/>
      <c r="D151" s="16">
        <v>204</v>
      </c>
      <c r="E151" s="9">
        <f t="shared" si="2"/>
        <v>254.99999999999997</v>
      </c>
    </row>
    <row r="152">
      <c r="A152" s="4"/>
      <c r="B152" s="3"/>
      <c r="C152" s="3"/>
      <c r="D152" s="3"/>
    </row>
    <row r="153" ht="25">
      <c r="A153" s="8" t="s">
        <v>132</v>
      </c>
      <c r="B153" s="3"/>
      <c r="C153" s="3"/>
      <c r="D153" s="3"/>
    </row>
    <row r="154" ht="21">
      <c r="A154" s="4" t="s">
        <v>133</v>
      </c>
      <c r="B154" s="11">
        <v>250</v>
      </c>
      <c r="C154" s="11"/>
      <c r="D154" s="16">
        <v>1134</v>
      </c>
      <c r="E154" s="10">
        <f t="shared" si="2"/>
        <v>1417.5</v>
      </c>
    </row>
    <row r="155" ht="34">
      <c r="A155" s="4" t="s">
        <v>134</v>
      </c>
      <c r="B155" s="11">
        <v>250</v>
      </c>
      <c r="C155" s="11"/>
      <c r="D155" s="16">
        <v>1986</v>
      </c>
      <c r="E155" s="10">
        <f t="shared" si="2"/>
        <v>2482.5</v>
      </c>
    </row>
    <row r="156" ht="34">
      <c r="A156" s="4" t="s">
        <v>135</v>
      </c>
      <c r="B156" s="11">
        <v>400</v>
      </c>
      <c r="C156" s="11"/>
      <c r="D156" s="16">
        <v>1932</v>
      </c>
      <c r="E156" s="9">
        <f t="shared" si="2"/>
        <v>2415</v>
      </c>
    </row>
    <row r="157" ht="21">
      <c r="A157" s="4" t="s">
        <v>136</v>
      </c>
      <c r="B157" s="11">
        <v>400</v>
      </c>
      <c r="C157" s="11"/>
      <c r="D157" s="16">
        <v>1734</v>
      </c>
      <c r="E157" s="10">
        <f t="shared" si="2"/>
        <v>2167.5</v>
      </c>
    </row>
    <row r="158" ht="34">
      <c r="A158" s="4" t="s">
        <v>137</v>
      </c>
      <c r="B158" s="11">
        <v>450</v>
      </c>
      <c r="C158" s="11"/>
      <c r="D158" s="16">
        <v>1320</v>
      </c>
      <c r="E158" s="9">
        <f t="shared" si="2"/>
        <v>1650</v>
      </c>
    </row>
    <row r="159" ht="34">
      <c r="A159" s="4" t="s">
        <v>138</v>
      </c>
      <c r="B159" s="11">
        <v>450</v>
      </c>
      <c r="C159" s="11"/>
      <c r="D159" s="16">
        <v>1860</v>
      </c>
      <c r="E159" s="9">
        <f t="shared" si="2"/>
        <v>2325</v>
      </c>
    </row>
    <row r="160" ht="51">
      <c r="A160" s="4" t="s">
        <v>139</v>
      </c>
      <c r="B160" s="11">
        <v>100</v>
      </c>
      <c r="C160" s="11"/>
      <c r="D160" s="16">
        <v>714</v>
      </c>
      <c r="E160" s="10">
        <f t="shared" si="2"/>
        <v>892.50000000000011</v>
      </c>
    </row>
    <row r="161" ht="34">
      <c r="A161" s="4" t="s">
        <v>140</v>
      </c>
      <c r="B161" s="11">
        <v>250</v>
      </c>
      <c r="C161" s="11"/>
      <c r="D161" s="16">
        <v>756</v>
      </c>
      <c r="E161" s="9">
        <f t="shared" si="2"/>
        <v>944.99999999999989</v>
      </c>
    </row>
    <row r="162" ht="34">
      <c r="A162" s="4" t="s">
        <v>141</v>
      </c>
      <c r="B162" s="9">
        <v>80</v>
      </c>
      <c r="C162" s="9"/>
      <c r="D162" s="16">
        <v>504</v>
      </c>
      <c r="E162" s="9">
        <f t="shared" si="2"/>
        <v>630</v>
      </c>
    </row>
    <row r="163">
      <c r="A163" s="4"/>
      <c r="B163" s="3"/>
      <c r="C163" s="3"/>
      <c r="D163" s="3"/>
    </row>
    <row r="164" ht="25">
      <c r="A164" s="8" t="s">
        <v>142</v>
      </c>
      <c r="B164" s="3"/>
      <c r="C164" s="3"/>
      <c r="D164" s="3"/>
    </row>
    <row r="165" ht="21">
      <c r="A165" s="4" t="s">
        <v>143</v>
      </c>
      <c r="B165" s="9">
        <v>60</v>
      </c>
      <c r="C165" s="9"/>
      <c r="D165" s="16">
        <v>302</v>
      </c>
      <c r="E165" s="10">
        <f t="shared" ref="E164:E227" si="3">D165/80*100</f>
        <v>377.5</v>
      </c>
    </row>
    <row r="166" ht="21">
      <c r="A166" s="4" t="s">
        <v>144</v>
      </c>
      <c r="B166" s="9">
        <v>60</v>
      </c>
      <c r="C166" s="9"/>
      <c r="D166" s="16">
        <v>302</v>
      </c>
      <c r="E166" s="10">
        <f t="shared" si="3"/>
        <v>377.5</v>
      </c>
    </row>
    <row r="167" ht="21">
      <c r="A167" s="4" t="s">
        <v>145</v>
      </c>
      <c r="B167" s="9">
        <v>60</v>
      </c>
      <c r="C167" s="9"/>
      <c r="D167" s="16">
        <v>400</v>
      </c>
      <c r="E167" s="9">
        <f t="shared" si="3"/>
        <v>500</v>
      </c>
    </row>
    <row r="168" ht="34">
      <c r="A168" s="4" t="s">
        <v>146</v>
      </c>
      <c r="B168" s="9">
        <v>60</v>
      </c>
      <c r="C168" s="9"/>
      <c r="D168" s="16">
        <v>400</v>
      </c>
      <c r="E168" s="9">
        <f t="shared" si="3"/>
        <v>500</v>
      </c>
    </row>
    <row r="169" ht="21">
      <c r="A169" s="4" t="s">
        <v>147</v>
      </c>
      <c r="B169" s="9">
        <v>60</v>
      </c>
      <c r="C169" s="9"/>
      <c r="D169" s="16">
        <v>338</v>
      </c>
      <c r="E169" s="10">
        <f t="shared" si="3"/>
        <v>422.49999999999994</v>
      </c>
    </row>
    <row r="170" ht="21">
      <c r="A170" s="4" t="s">
        <v>148</v>
      </c>
      <c r="B170" s="9">
        <v>60</v>
      </c>
      <c r="C170" s="9"/>
      <c r="D170" s="16">
        <v>338</v>
      </c>
      <c r="E170" s="10">
        <f t="shared" si="3"/>
        <v>422.49999999999994</v>
      </c>
    </row>
    <row r="171" ht="34">
      <c r="A171" s="4" t="s">
        <v>149</v>
      </c>
      <c r="B171" s="9">
        <v>60</v>
      </c>
      <c r="C171" s="9"/>
      <c r="D171" s="16">
        <v>386</v>
      </c>
      <c r="E171" s="10">
        <f t="shared" si="3"/>
        <v>482.5</v>
      </c>
    </row>
    <row r="172">
      <c r="A172" s="4"/>
      <c r="B172" s="3"/>
      <c r="C172" s="3"/>
      <c r="D172" s="3"/>
    </row>
    <row r="173" ht="25">
      <c r="A173" s="8" t="s">
        <v>150</v>
      </c>
      <c r="B173" s="3"/>
      <c r="C173" s="3"/>
      <c r="D173" s="3"/>
    </row>
    <row r="174" ht="21">
      <c r="A174" s="4" t="s">
        <v>143</v>
      </c>
      <c r="B174" s="9">
        <v>150</v>
      </c>
      <c r="C174" s="9"/>
      <c r="D174" s="16">
        <v>756</v>
      </c>
      <c r="E174" s="9">
        <f t="shared" si="3"/>
        <v>944.99999999999989</v>
      </c>
    </row>
    <row r="175" ht="21">
      <c r="A175" s="4" t="s">
        <v>144</v>
      </c>
      <c r="B175" s="9">
        <v>150</v>
      </c>
      <c r="C175" s="9"/>
      <c r="D175" s="16">
        <v>756</v>
      </c>
      <c r="E175" s="9">
        <f t="shared" si="3"/>
        <v>944.99999999999989</v>
      </c>
    </row>
    <row r="176" ht="34">
      <c r="A176" s="4" t="s">
        <v>151</v>
      </c>
      <c r="B176" s="9">
        <v>150</v>
      </c>
      <c r="C176" s="9"/>
      <c r="D176" s="16">
        <v>768</v>
      </c>
      <c r="E176" s="9">
        <f t="shared" si="3"/>
        <v>960</v>
      </c>
    </row>
    <row r="177" ht="21">
      <c r="A177" s="4" t="s">
        <v>152</v>
      </c>
      <c r="B177" s="9">
        <v>150</v>
      </c>
      <c r="C177" s="9"/>
      <c r="D177" s="16">
        <v>834</v>
      </c>
      <c r="E177" s="10">
        <f t="shared" si="3"/>
        <v>1042.5</v>
      </c>
    </row>
    <row r="178" ht="34">
      <c r="A178" s="4" t="s">
        <v>153</v>
      </c>
      <c r="B178" s="9">
        <v>150</v>
      </c>
      <c r="C178" s="9"/>
      <c r="D178" s="16">
        <v>732</v>
      </c>
      <c r="E178" s="9">
        <f t="shared" si="3"/>
        <v>915</v>
      </c>
    </row>
    <row r="179" ht="34">
      <c r="A179" s="4" t="s">
        <v>154</v>
      </c>
      <c r="B179" s="9">
        <v>150</v>
      </c>
      <c r="C179" s="9"/>
      <c r="D179" s="16">
        <v>702</v>
      </c>
      <c r="E179" s="10">
        <f t="shared" si="3"/>
        <v>877.5</v>
      </c>
    </row>
    <row r="180" ht="34">
      <c r="A180" s="4" t="s">
        <v>155</v>
      </c>
      <c r="B180" s="9">
        <v>150</v>
      </c>
      <c r="C180" s="9"/>
      <c r="D180" s="16">
        <v>798</v>
      </c>
      <c r="E180" s="10">
        <f t="shared" si="3"/>
        <v>997.5</v>
      </c>
    </row>
    <row r="181" ht="34">
      <c r="A181" s="4" t="s">
        <v>156</v>
      </c>
      <c r="B181" s="9">
        <v>150</v>
      </c>
      <c r="C181" s="9"/>
      <c r="D181" s="16">
        <v>630</v>
      </c>
      <c r="E181" s="10">
        <f t="shared" si="3"/>
        <v>787.5</v>
      </c>
    </row>
    <row r="182" ht="34">
      <c r="A182" s="4" t="s">
        <v>157</v>
      </c>
      <c r="B182" s="9">
        <v>150</v>
      </c>
      <c r="C182" s="9"/>
      <c r="D182" s="16">
        <v>696</v>
      </c>
      <c r="E182" s="9">
        <f t="shared" si="3"/>
        <v>869.99999999999989</v>
      </c>
    </row>
    <row r="183" ht="34">
      <c r="A183" s="4" t="s">
        <v>158</v>
      </c>
      <c r="B183" s="9">
        <v>150</v>
      </c>
      <c r="C183" s="9"/>
      <c r="D183" s="16">
        <v>558</v>
      </c>
      <c r="E183" s="10">
        <f t="shared" si="3"/>
        <v>697.5</v>
      </c>
    </row>
    <row r="184" ht="21">
      <c r="A184" s="4" t="s">
        <v>159</v>
      </c>
      <c r="B184" s="9">
        <v>150</v>
      </c>
      <c r="C184" s="9"/>
      <c r="D184" s="16">
        <v>690</v>
      </c>
      <c r="E184" s="10">
        <f t="shared" si="3"/>
        <v>862.5</v>
      </c>
    </row>
    <row r="185" ht="34">
      <c r="A185" s="4" t="s">
        <v>160</v>
      </c>
      <c r="B185" s="9">
        <v>150</v>
      </c>
      <c r="C185" s="9"/>
      <c r="D185" s="16">
        <v>706</v>
      </c>
      <c r="E185" s="10">
        <f t="shared" si="3"/>
        <v>882.49999999999989</v>
      </c>
    </row>
    <row r="186" ht="21">
      <c r="A186" s="4" t="s">
        <v>161</v>
      </c>
      <c r="B186" s="9">
        <v>150</v>
      </c>
      <c r="C186" s="9"/>
      <c r="D186" s="16">
        <v>648</v>
      </c>
      <c r="E186" s="9">
        <f t="shared" si="3"/>
        <v>810</v>
      </c>
    </row>
    <row r="187" ht="34">
      <c r="A187" s="4" t="s">
        <v>162</v>
      </c>
      <c r="B187" s="9">
        <v>150</v>
      </c>
      <c r="C187" s="9"/>
      <c r="D187" s="16">
        <v>588</v>
      </c>
      <c r="E187" s="9">
        <f t="shared" si="3"/>
        <v>735</v>
      </c>
    </row>
    <row r="188" ht="34">
      <c r="A188" s="4" t="s">
        <v>163</v>
      </c>
      <c r="B188" s="9">
        <v>150</v>
      </c>
      <c r="C188" s="9"/>
      <c r="D188" s="16">
        <v>780</v>
      </c>
      <c r="E188" s="9">
        <f t="shared" si="3"/>
        <v>975</v>
      </c>
    </row>
    <row r="189" ht="34">
      <c r="A189" s="4" t="s">
        <v>164</v>
      </c>
      <c r="B189" s="9">
        <v>150</v>
      </c>
      <c r="C189" s="9"/>
      <c r="D189" s="16">
        <v>642</v>
      </c>
      <c r="E189" s="10">
        <f t="shared" si="3"/>
        <v>802.5</v>
      </c>
    </row>
    <row r="190" ht="34">
      <c r="A190" s="4" t="s">
        <v>165</v>
      </c>
      <c r="B190" s="9">
        <v>150</v>
      </c>
      <c r="C190" s="9"/>
      <c r="D190" s="16">
        <v>624</v>
      </c>
      <c r="E190" s="9">
        <f t="shared" si="3"/>
        <v>780</v>
      </c>
    </row>
    <row r="191" ht="34">
      <c r="A191" s="4" t="s">
        <v>166</v>
      </c>
      <c r="B191" s="9">
        <v>150</v>
      </c>
      <c r="C191" s="9"/>
      <c r="D191" s="16">
        <v>588</v>
      </c>
      <c r="E191" s="9">
        <f t="shared" si="3"/>
        <v>735</v>
      </c>
    </row>
    <row r="192" ht="34">
      <c r="A192" s="4" t="s">
        <v>167</v>
      </c>
      <c r="B192" s="9">
        <v>150</v>
      </c>
      <c r="C192" s="9"/>
      <c r="D192" s="16">
        <v>706</v>
      </c>
      <c r="E192" s="10">
        <f t="shared" si="3"/>
        <v>882.49999999999989</v>
      </c>
    </row>
    <row r="193" ht="21">
      <c r="A193" s="4" t="s">
        <v>168</v>
      </c>
      <c r="B193" s="9">
        <v>150</v>
      </c>
      <c r="C193" s="9"/>
      <c r="D193" s="16">
        <v>706</v>
      </c>
      <c r="E193" s="10">
        <f t="shared" si="3"/>
        <v>882.49999999999989</v>
      </c>
    </row>
    <row r="194">
      <c r="A194" s="4"/>
      <c r="B194" s="3"/>
      <c r="C194" s="3"/>
      <c r="D194" s="3"/>
    </row>
    <row r="195" ht="25">
      <c r="A195" s="8" t="s">
        <v>169</v>
      </c>
      <c r="B195" s="3"/>
      <c r="C195" s="3"/>
      <c r="D195" s="3"/>
    </row>
    <row r="196" ht="21">
      <c r="A196" s="4" t="s">
        <v>170</v>
      </c>
      <c r="B196" s="9">
        <v>25</v>
      </c>
      <c r="C196" s="9"/>
      <c r="D196" s="16">
        <v>186</v>
      </c>
      <c r="E196" s="10">
        <f t="shared" si="3"/>
        <v>232.50000000000003</v>
      </c>
    </row>
    <row r="197" ht="21">
      <c r="A197" s="4" t="s">
        <v>171</v>
      </c>
      <c r="B197" s="9">
        <v>30</v>
      </c>
      <c r="C197" s="9"/>
      <c r="D197" s="16">
        <v>192</v>
      </c>
      <c r="E197" s="9">
        <f t="shared" si="3"/>
        <v>240</v>
      </c>
    </row>
    <row r="198" ht="21">
      <c r="A198" s="4" t="s">
        <v>172</v>
      </c>
      <c r="B198" s="9">
        <v>150</v>
      </c>
      <c r="C198" s="9"/>
      <c r="D198" s="16">
        <v>302</v>
      </c>
      <c r="E198" s="10">
        <f t="shared" si="3"/>
        <v>377.5</v>
      </c>
    </row>
    <row r="199">
      <c r="A199" s="4"/>
      <c r="B199" s="3"/>
      <c r="C199" s="3"/>
      <c r="D199" s="3"/>
    </row>
    <row r="200" ht="25">
      <c r="A200" s="8" t="s">
        <v>173</v>
      </c>
      <c r="B200" s="3"/>
      <c r="C200" s="3"/>
      <c r="D200" s="3"/>
    </row>
    <row r="201" ht="21">
      <c r="A201" s="4" t="s">
        <v>174</v>
      </c>
      <c r="B201" s="9">
        <v>50</v>
      </c>
      <c r="C201" s="9"/>
      <c r="D201" s="16">
        <v>180</v>
      </c>
      <c r="E201" s="9">
        <f t="shared" si="3"/>
        <v>225</v>
      </c>
    </row>
    <row r="202" ht="21">
      <c r="A202" s="4" t="s">
        <v>175</v>
      </c>
      <c r="B202" s="9">
        <v>50</v>
      </c>
      <c r="C202" s="9"/>
      <c r="D202" s="16">
        <v>180</v>
      </c>
      <c r="E202" s="9">
        <f t="shared" si="3"/>
        <v>225</v>
      </c>
    </row>
    <row r="203" ht="21">
      <c r="A203" s="4" t="s">
        <v>176</v>
      </c>
      <c r="B203" s="9">
        <v>50</v>
      </c>
      <c r="C203" s="9"/>
      <c r="D203" s="16">
        <v>180</v>
      </c>
      <c r="E203" s="9">
        <f t="shared" si="3"/>
        <v>225</v>
      </c>
    </row>
    <row r="204" ht="21">
      <c r="A204" s="4" t="s">
        <v>177</v>
      </c>
      <c r="B204" s="9">
        <v>50</v>
      </c>
      <c r="C204" s="9"/>
      <c r="D204" s="16">
        <v>180</v>
      </c>
      <c r="E204" s="9">
        <f t="shared" si="3"/>
        <v>225</v>
      </c>
    </row>
    <row r="205">
      <c r="A205" s="4"/>
      <c r="B205" s="3"/>
      <c r="C205" s="3"/>
      <c r="D205" s="3"/>
    </row>
    <row r="206" ht="25">
      <c r="A206" s="8" t="s">
        <v>178</v>
      </c>
      <c r="B206" s="3"/>
      <c r="C206" s="3"/>
      <c r="D206" s="3"/>
    </row>
    <row r="207" ht="21">
      <c r="A207" s="4" t="s">
        <v>179</v>
      </c>
      <c r="B207" s="9">
        <v>250</v>
      </c>
      <c r="C207" s="9"/>
      <c r="D207" s="16">
        <v>492</v>
      </c>
      <c r="E207" s="9">
        <f t="shared" si="3"/>
        <v>615</v>
      </c>
    </row>
    <row r="208" ht="21">
      <c r="A208" s="4" t="s">
        <v>180</v>
      </c>
      <c r="B208" s="9">
        <v>250</v>
      </c>
      <c r="C208" s="9"/>
      <c r="D208" s="16">
        <v>468</v>
      </c>
      <c r="E208" s="9">
        <f t="shared" si="3"/>
        <v>585</v>
      </c>
    </row>
    <row r="209" ht="21">
      <c r="A209" s="4" t="s">
        <v>181</v>
      </c>
      <c r="B209" s="9">
        <v>250</v>
      </c>
      <c r="C209" s="9"/>
      <c r="D209" s="16">
        <v>372</v>
      </c>
      <c r="E209" s="9">
        <f t="shared" si="3"/>
        <v>465.00000000000006</v>
      </c>
    </row>
    <row r="210" ht="21">
      <c r="A210" s="4" t="s">
        <v>182</v>
      </c>
      <c r="B210" s="9">
        <v>250</v>
      </c>
      <c r="C210" s="9"/>
      <c r="D210" s="16">
        <v>396</v>
      </c>
      <c r="E210" s="9">
        <f t="shared" si="3"/>
        <v>495</v>
      </c>
    </row>
    <row r="211" ht="21">
      <c r="A211" s="4" t="s">
        <v>183</v>
      </c>
      <c r="B211" s="9">
        <v>250</v>
      </c>
      <c r="C211" s="9"/>
      <c r="D211" s="16">
        <v>504</v>
      </c>
      <c r="E211" s="9">
        <f t="shared" si="3"/>
        <v>630</v>
      </c>
    </row>
    <row r="212" ht="21">
      <c r="A212" s="4" t="s">
        <v>184</v>
      </c>
      <c r="B212" s="9">
        <v>250</v>
      </c>
      <c r="C212" s="9"/>
      <c r="D212" s="16">
        <v>354</v>
      </c>
      <c r="E212" s="10">
        <f t="shared" si="3"/>
        <v>442.5</v>
      </c>
    </row>
    <row r="213" ht="21">
      <c r="A213" s="4" t="s">
        <v>185</v>
      </c>
      <c r="B213" s="9">
        <v>250</v>
      </c>
      <c r="C213" s="9"/>
      <c r="D213" s="16">
        <v>420</v>
      </c>
      <c r="E213" s="9">
        <f t="shared" si="3"/>
        <v>525</v>
      </c>
    </row>
    <row r="214" ht="21">
      <c r="A214" s="4" t="s">
        <v>186</v>
      </c>
      <c r="B214" s="9">
        <v>250</v>
      </c>
      <c r="C214" s="9"/>
      <c r="D214" s="16">
        <v>780</v>
      </c>
      <c r="E214" s="9">
        <f t="shared" si="3"/>
        <v>975</v>
      </c>
    </row>
    <row r="215" ht="21">
      <c r="A215" s="4" t="s">
        <v>187</v>
      </c>
      <c r="B215" s="9">
        <v>250</v>
      </c>
      <c r="C215" s="9"/>
      <c r="D215" s="16">
        <v>576</v>
      </c>
      <c r="E215" s="9">
        <f t="shared" si="3"/>
        <v>720</v>
      </c>
    </row>
    <row r="216">
      <c r="A216" s="4"/>
      <c r="B216" s="3"/>
      <c r="C216" s="3"/>
      <c r="D216" s="3"/>
    </row>
    <row r="217" ht="25">
      <c r="A217" s="8" t="s">
        <v>188</v>
      </c>
      <c r="B217" s="3"/>
      <c r="C217" s="3"/>
      <c r="D217" s="3"/>
    </row>
    <row r="218" ht="21">
      <c r="A218" s="12" t="s">
        <v>189</v>
      </c>
      <c r="B218" s="9">
        <v>180</v>
      </c>
      <c r="C218" s="9"/>
      <c r="D218" s="16">
        <v>756</v>
      </c>
      <c r="E218" s="9">
        <f t="shared" si="3"/>
        <v>944.99999999999989</v>
      </c>
    </row>
    <row r="219" ht="21">
      <c r="A219" s="12" t="s">
        <v>190</v>
      </c>
      <c r="B219" s="9">
        <v>180</v>
      </c>
      <c r="C219" s="9"/>
      <c r="D219" s="16">
        <v>756</v>
      </c>
      <c r="E219" s="9">
        <f t="shared" si="3"/>
        <v>944.99999999999989</v>
      </c>
    </row>
    <row r="220" ht="21">
      <c r="A220" s="12" t="s">
        <v>191</v>
      </c>
      <c r="B220" s="11">
        <v>100</v>
      </c>
      <c r="C220" s="11"/>
      <c r="D220" s="16">
        <v>654</v>
      </c>
      <c r="E220" s="10">
        <f t="shared" si="3"/>
        <v>817.50000000000011</v>
      </c>
    </row>
    <row r="221">
      <c r="A221" s="4"/>
      <c r="B221" s="4"/>
      <c r="C221" s="4"/>
      <c r="D221" s="3"/>
    </row>
    <row r="222" ht="25">
      <c r="A222" s="8" t="s">
        <v>192</v>
      </c>
      <c r="B222" s="3"/>
      <c r="C222" s="3"/>
      <c r="D222" s="3"/>
    </row>
    <row r="223" ht="21">
      <c r="A223" s="4" t="s">
        <v>193</v>
      </c>
      <c r="B223" s="9">
        <v>60</v>
      </c>
      <c r="C223" s="9"/>
      <c r="D223" s="16">
        <v>486</v>
      </c>
      <c r="E223" s="10">
        <f t="shared" si="3"/>
        <v>607.5</v>
      </c>
    </row>
    <row r="224" ht="21">
      <c r="A224" s="4" t="s">
        <v>194</v>
      </c>
      <c r="B224" s="9">
        <v>60</v>
      </c>
      <c r="C224" s="9"/>
      <c r="D224" s="16">
        <v>486</v>
      </c>
      <c r="E224" s="10">
        <f t="shared" si="3"/>
        <v>607.5</v>
      </c>
    </row>
    <row r="225" ht="21">
      <c r="A225" s="4" t="s">
        <v>195</v>
      </c>
      <c r="B225" s="9">
        <v>60</v>
      </c>
      <c r="C225" s="9"/>
      <c r="D225" s="16">
        <v>414</v>
      </c>
      <c r="E225" s="10">
        <f t="shared" si="3"/>
        <v>517.5</v>
      </c>
    </row>
    <row r="226" ht="21">
      <c r="A226" s="4" t="s">
        <v>196</v>
      </c>
      <c r="B226" s="9">
        <v>60</v>
      </c>
      <c r="C226" s="9"/>
      <c r="D226" s="16">
        <v>564</v>
      </c>
      <c r="E226" s="9">
        <f t="shared" si="3"/>
        <v>705</v>
      </c>
    </row>
    <row r="227" ht="21">
      <c r="A227" s="4" t="s">
        <v>197</v>
      </c>
      <c r="B227" s="9">
        <v>35</v>
      </c>
      <c r="C227" s="9"/>
      <c r="D227" s="16">
        <v>302</v>
      </c>
      <c r="E227" s="10">
        <f t="shared" si="3"/>
        <v>377.5</v>
      </c>
    </row>
    <row r="228" ht="21">
      <c r="A228" s="4" t="s">
        <v>198</v>
      </c>
      <c r="B228" s="9">
        <v>45</v>
      </c>
      <c r="C228" s="9"/>
      <c r="D228" s="16">
        <v>270</v>
      </c>
      <c r="E228" s="10">
        <f t="shared" ref="E228:E291" si="4">D228/80*100</f>
        <v>337.5</v>
      </c>
    </row>
    <row r="229" ht="21">
      <c r="A229" s="4" t="s">
        <v>199</v>
      </c>
      <c r="B229" s="9">
        <v>90</v>
      </c>
      <c r="C229" s="9"/>
      <c r="D229" s="16">
        <v>302</v>
      </c>
      <c r="E229" s="10">
        <f t="shared" si="4"/>
        <v>377.5</v>
      </c>
    </row>
    <row r="230" ht="21">
      <c r="A230" s="4" t="s">
        <v>200</v>
      </c>
      <c r="B230" s="9">
        <v>45</v>
      </c>
      <c r="C230" s="9"/>
      <c r="D230" s="16">
        <v>168</v>
      </c>
      <c r="E230" s="9">
        <f t="shared" si="4"/>
        <v>210</v>
      </c>
    </row>
    <row r="231" ht="21">
      <c r="A231" s="4" t="s">
        <v>201</v>
      </c>
      <c r="B231" s="9">
        <v>35</v>
      </c>
      <c r="C231" s="9"/>
      <c r="D231" s="16">
        <v>384</v>
      </c>
      <c r="E231" s="9">
        <f t="shared" si="4"/>
        <v>480</v>
      </c>
    </row>
    <row r="232" ht="21">
      <c r="A232" s="4" t="s">
        <v>202</v>
      </c>
      <c r="B232" s="9">
        <v>60</v>
      </c>
      <c r="C232" s="9"/>
      <c r="D232" s="16">
        <v>594</v>
      </c>
      <c r="E232" s="10">
        <f t="shared" si="4"/>
        <v>742.5</v>
      </c>
    </row>
    <row r="233" ht="21">
      <c r="A233" s="4" t="s">
        <v>203</v>
      </c>
      <c r="B233" s="9">
        <v>30</v>
      </c>
      <c r="C233" s="9"/>
      <c r="D233" s="16">
        <v>270</v>
      </c>
      <c r="E233" s="10">
        <f t="shared" si="4"/>
        <v>337.5</v>
      </c>
    </row>
    <row r="234" ht="21">
      <c r="A234" s="4" t="s">
        <v>204</v>
      </c>
      <c r="B234" s="9">
        <v>60</v>
      </c>
      <c r="C234" s="9"/>
      <c r="D234" s="16">
        <v>498</v>
      </c>
      <c r="E234" s="10">
        <f t="shared" si="4"/>
        <v>622.5</v>
      </c>
    </row>
    <row r="235" ht="21">
      <c r="A235" s="4" t="s">
        <v>205</v>
      </c>
      <c r="B235" s="9">
        <v>50</v>
      </c>
      <c r="C235" s="9"/>
      <c r="D235" s="16">
        <v>216</v>
      </c>
      <c r="E235" s="9">
        <f t="shared" si="4"/>
        <v>270</v>
      </c>
    </row>
    <row r="236" ht="21">
      <c r="A236" s="4" t="s">
        <v>206</v>
      </c>
      <c r="B236" s="9">
        <v>180</v>
      </c>
      <c r="C236" s="9"/>
      <c r="D236" s="16">
        <v>402</v>
      </c>
      <c r="E236" s="10">
        <f t="shared" si="4"/>
        <v>502.50000000000006</v>
      </c>
    </row>
    <row r="237" ht="21">
      <c r="A237" s="4" t="s">
        <v>207</v>
      </c>
      <c r="B237" s="9">
        <v>120</v>
      </c>
      <c r="C237" s="9"/>
      <c r="D237" s="16">
        <v>756</v>
      </c>
      <c r="E237" s="9">
        <f t="shared" si="4"/>
        <v>944.99999999999989</v>
      </c>
    </row>
    <row r="238" ht="21">
      <c r="A238" s="4" t="s">
        <v>208</v>
      </c>
      <c r="B238" s="9">
        <v>80</v>
      </c>
      <c r="C238" s="9"/>
      <c r="D238" s="16">
        <v>450</v>
      </c>
      <c r="E238" s="10">
        <f t="shared" si="4"/>
        <v>562.5</v>
      </c>
    </row>
    <row r="239" ht="21">
      <c r="A239" s="4" t="s">
        <v>208</v>
      </c>
      <c r="B239" s="9">
        <v>40</v>
      </c>
      <c r="C239" s="9"/>
      <c r="D239" s="16">
        <v>252</v>
      </c>
      <c r="E239" s="9">
        <f t="shared" si="4"/>
        <v>315</v>
      </c>
    </row>
    <row r="240" ht="21">
      <c r="A240" s="4" t="s">
        <v>209</v>
      </c>
      <c r="B240" s="9">
        <v>40</v>
      </c>
      <c r="C240" s="9"/>
      <c r="D240" s="16">
        <v>192</v>
      </c>
      <c r="E240" s="9">
        <f t="shared" si="4"/>
        <v>240</v>
      </c>
    </row>
    <row r="241" ht="21">
      <c r="A241" s="4" t="s">
        <v>210</v>
      </c>
      <c r="B241" s="9">
        <v>30</v>
      </c>
      <c r="C241" s="9"/>
      <c r="D241" s="16">
        <v>120</v>
      </c>
      <c r="E241" s="9">
        <f t="shared" si="4"/>
        <v>150</v>
      </c>
    </row>
    <row r="242" ht="34">
      <c r="A242" s="4" t="s">
        <v>211</v>
      </c>
      <c r="B242" s="9">
        <v>80</v>
      </c>
      <c r="C242" s="9"/>
      <c r="D242" s="16">
        <v>252</v>
      </c>
      <c r="E242" s="9">
        <f t="shared" si="4"/>
        <v>315</v>
      </c>
    </row>
    <row r="243" ht="21">
      <c r="A243" s="4" t="s">
        <v>212</v>
      </c>
      <c r="B243" s="9">
        <v>60</v>
      </c>
      <c r="C243" s="9"/>
      <c r="D243" s="16">
        <v>384</v>
      </c>
      <c r="E243" s="9">
        <f t="shared" si="4"/>
        <v>480</v>
      </c>
    </row>
    <row r="244" ht="21">
      <c r="A244" s="4" t="s">
        <v>213</v>
      </c>
      <c r="B244" s="9">
        <v>100</v>
      </c>
      <c r="C244" s="9"/>
      <c r="D244" s="16">
        <v>370</v>
      </c>
      <c r="E244" s="10">
        <f t="shared" si="4"/>
        <v>462.5</v>
      </c>
    </row>
    <row r="245">
      <c r="A245" s="4"/>
      <c r="B245" s="3"/>
      <c r="C245" s="3"/>
      <c r="D245" s="3"/>
    </row>
    <row r="246" ht="25">
      <c r="A246" s="8" t="s">
        <v>214</v>
      </c>
      <c r="B246" s="3"/>
      <c r="C246" s="3"/>
      <c r="D246" s="3"/>
    </row>
    <row r="247" ht="21">
      <c r="A247" s="4" t="s">
        <v>215</v>
      </c>
      <c r="B247" s="9">
        <v>150</v>
      </c>
      <c r="C247" s="9"/>
      <c r="D247" s="16">
        <v>252</v>
      </c>
      <c r="E247" s="9">
        <f t="shared" si="4"/>
        <v>315</v>
      </c>
    </row>
    <row r="248" ht="21">
      <c r="A248" s="4" t="s">
        <v>216</v>
      </c>
      <c r="B248" s="9">
        <v>100</v>
      </c>
      <c r="C248" s="9"/>
      <c r="D248" s="16">
        <v>198</v>
      </c>
      <c r="E248" s="10">
        <f t="shared" si="4"/>
        <v>247.5</v>
      </c>
    </row>
    <row r="249" ht="21">
      <c r="A249" s="4" t="s">
        <v>217</v>
      </c>
      <c r="B249" s="9">
        <v>150</v>
      </c>
      <c r="C249" s="9"/>
      <c r="D249" s="16">
        <v>390</v>
      </c>
      <c r="E249" s="10">
        <f t="shared" si="4"/>
        <v>487.5</v>
      </c>
    </row>
    <row r="250" ht="21">
      <c r="A250" s="4" t="s">
        <v>218</v>
      </c>
      <c r="B250" s="9">
        <v>150</v>
      </c>
      <c r="C250" s="9"/>
      <c r="D250" s="16">
        <v>282</v>
      </c>
      <c r="E250" s="10">
        <f t="shared" si="4"/>
        <v>352.5</v>
      </c>
    </row>
    <row r="251" ht="21">
      <c r="A251" s="4" t="s">
        <v>208</v>
      </c>
      <c r="B251" s="9">
        <v>80</v>
      </c>
      <c r="C251" s="9"/>
      <c r="D251" s="16">
        <v>378</v>
      </c>
      <c r="E251" s="10">
        <f t="shared" si="4"/>
        <v>472.49999999999994</v>
      </c>
    </row>
    <row r="252" ht="21">
      <c r="A252" s="4" t="s">
        <v>219</v>
      </c>
      <c r="B252" s="9">
        <v>120</v>
      </c>
      <c r="C252" s="9"/>
      <c r="D252" s="16">
        <v>302</v>
      </c>
      <c r="E252" s="10">
        <f t="shared" si="4"/>
        <v>377.5</v>
      </c>
    </row>
    <row r="253" ht="21">
      <c r="A253" s="4" t="s">
        <v>220</v>
      </c>
      <c r="B253" s="9">
        <v>50</v>
      </c>
      <c r="C253" s="9"/>
      <c r="D253" s="16">
        <v>168</v>
      </c>
      <c r="E253" s="9">
        <f t="shared" si="4"/>
        <v>210</v>
      </c>
    </row>
    <row r="254" ht="21">
      <c r="A254" s="4" t="s">
        <v>221</v>
      </c>
      <c r="B254" s="9">
        <v>35</v>
      </c>
      <c r="C254" s="9"/>
      <c r="D254" s="16">
        <v>240</v>
      </c>
      <c r="E254" s="9">
        <f t="shared" si="4"/>
        <v>300</v>
      </c>
    </row>
    <row r="255" ht="21">
      <c r="A255" s="4" t="s">
        <v>222</v>
      </c>
      <c r="B255" s="9">
        <v>100</v>
      </c>
      <c r="C255" s="9"/>
      <c r="D255" s="16">
        <v>270</v>
      </c>
      <c r="E255" s="10">
        <f t="shared" si="4"/>
        <v>337.5</v>
      </c>
    </row>
    <row r="256" ht="21">
      <c r="A256" s="4" t="s">
        <v>223</v>
      </c>
      <c r="B256" s="9">
        <v>60</v>
      </c>
      <c r="C256" s="9"/>
      <c r="D256" s="16">
        <v>198</v>
      </c>
      <c r="E256" s="10">
        <f t="shared" si="4"/>
        <v>247.5</v>
      </c>
    </row>
    <row r="257" ht="21">
      <c r="A257" s="4" t="s">
        <v>224</v>
      </c>
      <c r="B257" s="9">
        <v>100</v>
      </c>
      <c r="C257" s="9"/>
      <c r="D257" s="16">
        <v>252</v>
      </c>
      <c r="E257" s="9">
        <f t="shared" si="4"/>
        <v>315</v>
      </c>
    </row>
    <row r="258" ht="21">
      <c r="A258" s="4" t="s">
        <v>225</v>
      </c>
      <c r="B258" s="9">
        <v>180</v>
      </c>
      <c r="C258" s="9"/>
      <c r="D258" s="16">
        <v>198</v>
      </c>
      <c r="E258" s="10">
        <f t="shared" si="4"/>
        <v>247.5</v>
      </c>
    </row>
    <row r="259" ht="21">
      <c r="A259" s="4" t="s">
        <v>216</v>
      </c>
      <c r="B259" s="9">
        <v>120</v>
      </c>
      <c r="C259" s="9"/>
      <c r="D259" s="16">
        <v>294</v>
      </c>
      <c r="E259" s="10">
        <f t="shared" si="4"/>
        <v>367.5</v>
      </c>
    </row>
    <row r="260" ht="21">
      <c r="A260" s="4" t="s">
        <v>206</v>
      </c>
      <c r="B260" s="9">
        <v>130</v>
      </c>
      <c r="C260" s="9"/>
      <c r="D260" s="16">
        <v>336</v>
      </c>
      <c r="E260" s="9">
        <f t="shared" si="4"/>
        <v>420</v>
      </c>
    </row>
    <row r="261" ht="21">
      <c r="A261" s="4" t="s">
        <v>226</v>
      </c>
      <c r="B261" s="9">
        <v>100</v>
      </c>
      <c r="C261" s="9"/>
      <c r="D261" s="16">
        <v>168</v>
      </c>
      <c r="E261" s="9">
        <f t="shared" si="4"/>
        <v>210</v>
      </c>
    </row>
    <row r="262">
      <c r="A262" s="4"/>
      <c r="B262" s="3"/>
      <c r="C262" s="3"/>
      <c r="D262" s="3"/>
    </row>
    <row r="263" ht="25">
      <c r="A263" s="8" t="s">
        <v>227</v>
      </c>
      <c r="B263" s="3"/>
      <c r="C263" s="3"/>
      <c r="D263" s="3"/>
    </row>
    <row r="264" ht="21">
      <c r="A264" s="4" t="s">
        <v>228</v>
      </c>
      <c r="B264" s="9">
        <v>220</v>
      </c>
      <c r="C264" s="9"/>
      <c r="D264" s="16">
        <v>1194</v>
      </c>
      <c r="E264" s="10">
        <f t="shared" si="4"/>
        <v>1492.5</v>
      </c>
    </row>
    <row r="265" ht="21">
      <c r="A265" s="4" t="s">
        <v>229</v>
      </c>
      <c r="B265" s="9">
        <v>240</v>
      </c>
      <c r="C265" s="9"/>
      <c r="D265" s="16">
        <v>1620</v>
      </c>
      <c r="E265" s="9">
        <f t="shared" si="4"/>
        <v>2025</v>
      </c>
    </row>
    <row r="266" ht="34">
      <c r="A266" s="4" t="s">
        <v>393</v>
      </c>
      <c r="B266" s="9">
        <v>210</v>
      </c>
      <c r="C266" s="9"/>
      <c r="D266" s="16">
        <v>655</v>
      </c>
      <c r="E266" s="10">
        <f t="shared" si="4"/>
        <v>818.75</v>
      </c>
    </row>
    <row r="267" ht="34">
      <c r="A267" s="4" t="s">
        <v>231</v>
      </c>
      <c r="B267" s="9">
        <v>220</v>
      </c>
      <c r="C267" s="9"/>
      <c r="D267" s="16">
        <v>1026</v>
      </c>
      <c r="E267" s="10">
        <f t="shared" si="4"/>
        <v>1282.5</v>
      </c>
    </row>
    <row r="268" ht="34">
      <c r="A268" s="4" t="s">
        <v>232</v>
      </c>
      <c r="B268" s="9">
        <v>220</v>
      </c>
      <c r="C268" s="9"/>
      <c r="D268" s="16">
        <v>1056</v>
      </c>
      <c r="E268" s="9">
        <f t="shared" si="4"/>
        <v>1320</v>
      </c>
    </row>
    <row r="269" ht="21">
      <c r="A269" s="4" t="s">
        <v>233</v>
      </c>
      <c r="B269" s="9">
        <v>240</v>
      </c>
      <c r="C269" s="9"/>
      <c r="D269" s="16">
        <v>1362</v>
      </c>
      <c r="E269" s="10">
        <f t="shared" si="4"/>
        <v>1702.4999999999998</v>
      </c>
    </row>
    <row r="270" ht="21">
      <c r="A270" s="4" t="s">
        <v>234</v>
      </c>
      <c r="B270" s="9">
        <v>280</v>
      </c>
      <c r="C270" s="9"/>
      <c r="D270" s="16">
        <v>1134</v>
      </c>
      <c r="E270" s="10">
        <f t="shared" si="4"/>
        <v>1417.5</v>
      </c>
    </row>
    <row r="271" ht="34">
      <c r="A271" s="4" t="s">
        <v>235</v>
      </c>
      <c r="B271" s="9">
        <v>280</v>
      </c>
      <c r="C271" s="9"/>
      <c r="D271" s="16">
        <v>1134</v>
      </c>
      <c r="E271" s="10">
        <f t="shared" si="4"/>
        <v>1417.5</v>
      </c>
    </row>
    <row r="272" ht="21">
      <c r="A272" s="4" t="s">
        <v>236</v>
      </c>
      <c r="B272" s="9">
        <v>220</v>
      </c>
      <c r="C272" s="9"/>
      <c r="D272" s="16">
        <v>1002</v>
      </c>
      <c r="E272" s="10">
        <f t="shared" si="4"/>
        <v>1252.5</v>
      </c>
    </row>
    <row r="273" ht="21">
      <c r="A273" s="4" t="s">
        <v>237</v>
      </c>
      <c r="B273" s="9">
        <v>180</v>
      </c>
      <c r="C273" s="9"/>
      <c r="D273" s="16">
        <v>702</v>
      </c>
      <c r="E273" s="10">
        <f t="shared" si="4"/>
        <v>877.5</v>
      </c>
    </row>
    <row r="274" ht="34">
      <c r="A274" s="4" t="s">
        <v>238</v>
      </c>
      <c r="B274" s="9">
        <v>280</v>
      </c>
      <c r="C274" s="9"/>
      <c r="D274" s="16">
        <v>1110</v>
      </c>
      <c r="E274" s="10">
        <f t="shared" si="4"/>
        <v>1387.5</v>
      </c>
    </row>
    <row r="275" ht="34">
      <c r="A275" s="4" t="s">
        <v>239</v>
      </c>
      <c r="B275" s="9">
        <v>220</v>
      </c>
      <c r="C275" s="9"/>
      <c r="D275" s="16">
        <v>942</v>
      </c>
      <c r="E275" s="10">
        <f t="shared" si="4"/>
        <v>1177.5</v>
      </c>
    </row>
    <row r="276" ht="34">
      <c r="A276" s="4" t="s">
        <v>240</v>
      </c>
      <c r="B276" s="9">
        <v>320</v>
      </c>
      <c r="C276" s="9"/>
      <c r="D276" s="16">
        <v>924</v>
      </c>
      <c r="E276" s="9">
        <f t="shared" si="4"/>
        <v>1155</v>
      </c>
    </row>
    <row r="277" ht="34">
      <c r="A277" s="4" t="s">
        <v>241</v>
      </c>
      <c r="B277" s="9">
        <v>320</v>
      </c>
      <c r="C277" s="9"/>
      <c r="D277" s="16">
        <v>420</v>
      </c>
      <c r="E277" s="9">
        <f t="shared" si="4"/>
        <v>525</v>
      </c>
    </row>
    <row r="278" ht="21">
      <c r="A278" s="4" t="s">
        <v>242</v>
      </c>
      <c r="B278" s="9">
        <v>150</v>
      </c>
      <c r="C278" s="9"/>
      <c r="D278" s="16">
        <v>312</v>
      </c>
      <c r="E278" s="9">
        <f t="shared" si="4"/>
        <v>390</v>
      </c>
    </row>
    <row r="279" ht="21">
      <c r="A279" s="4" t="s">
        <v>243</v>
      </c>
      <c r="B279" s="9">
        <v>150</v>
      </c>
      <c r="C279" s="9"/>
      <c r="D279" s="16">
        <v>312</v>
      </c>
      <c r="E279" s="9">
        <f t="shared" si="4"/>
        <v>390</v>
      </c>
    </row>
    <row r="280">
      <c r="A280" s="4"/>
      <c r="B280" s="3"/>
      <c r="C280" s="3"/>
      <c r="D280" s="3"/>
    </row>
    <row r="281" ht="25">
      <c r="A281" s="8" t="s">
        <v>244</v>
      </c>
      <c r="B281" s="3"/>
      <c r="C281" s="3"/>
      <c r="D281" s="3"/>
    </row>
    <row r="282" ht="21">
      <c r="A282" s="4" t="s">
        <v>245</v>
      </c>
      <c r="B282" s="9">
        <v>220</v>
      </c>
      <c r="C282" s="9"/>
      <c r="D282" s="16">
        <v>2400</v>
      </c>
      <c r="E282" s="9">
        <f t="shared" si="4"/>
        <v>3000</v>
      </c>
    </row>
    <row r="283" ht="21">
      <c r="A283" s="4" t="s">
        <v>246</v>
      </c>
      <c r="B283" s="9">
        <v>220</v>
      </c>
      <c r="C283" s="9"/>
      <c r="D283" s="16">
        <v>540</v>
      </c>
      <c r="E283" s="9">
        <f t="shared" si="4"/>
        <v>675</v>
      </c>
    </row>
    <row r="284" ht="21">
      <c r="A284" s="4" t="s">
        <v>247</v>
      </c>
      <c r="B284" s="9">
        <v>220</v>
      </c>
      <c r="C284" s="9"/>
      <c r="D284" s="16">
        <v>828</v>
      </c>
      <c r="E284" s="9">
        <f t="shared" si="4"/>
        <v>1035</v>
      </c>
    </row>
    <row r="285" ht="21">
      <c r="A285" s="4" t="s">
        <v>248</v>
      </c>
      <c r="B285" s="9">
        <v>220</v>
      </c>
      <c r="C285" s="9"/>
      <c r="D285" s="16">
        <v>420</v>
      </c>
      <c r="E285" s="9">
        <f t="shared" si="4"/>
        <v>525</v>
      </c>
    </row>
    <row r="286" ht="34">
      <c r="A286" s="4" t="s">
        <v>249</v>
      </c>
      <c r="B286" s="9">
        <v>230</v>
      </c>
      <c r="C286" s="9"/>
      <c r="D286" s="16">
        <v>594</v>
      </c>
      <c r="E286" s="10">
        <f t="shared" si="4"/>
        <v>742.5</v>
      </c>
    </row>
    <row r="287" ht="34">
      <c r="A287" s="4" t="s">
        <v>250</v>
      </c>
      <c r="B287" s="9">
        <v>230</v>
      </c>
      <c r="C287" s="9"/>
      <c r="D287" s="16">
        <v>732</v>
      </c>
      <c r="E287" s="9">
        <f t="shared" si="4"/>
        <v>915</v>
      </c>
    </row>
    <row r="288" ht="21">
      <c r="A288" s="4" t="s">
        <v>251</v>
      </c>
      <c r="B288" s="9">
        <v>280</v>
      </c>
      <c r="C288" s="9"/>
      <c r="D288" s="16">
        <v>654</v>
      </c>
      <c r="E288" s="10">
        <f t="shared" si="4"/>
        <v>817.50000000000011</v>
      </c>
    </row>
    <row r="289" ht="21">
      <c r="A289" s="4" t="s">
        <v>252</v>
      </c>
      <c r="B289" s="9">
        <v>250</v>
      </c>
      <c r="C289" s="9"/>
      <c r="D289" s="16">
        <v>642</v>
      </c>
      <c r="E289" s="10">
        <f t="shared" si="4"/>
        <v>802.5</v>
      </c>
    </row>
    <row r="290" ht="21">
      <c r="A290" s="4" t="s">
        <v>253</v>
      </c>
      <c r="B290" s="9">
        <v>220</v>
      </c>
      <c r="C290" s="9"/>
      <c r="D290" s="16">
        <v>768</v>
      </c>
      <c r="E290" s="9">
        <f t="shared" si="4"/>
        <v>960</v>
      </c>
    </row>
    <row r="291" ht="21">
      <c r="A291" s="4" t="s">
        <v>254</v>
      </c>
      <c r="B291" s="9">
        <v>180</v>
      </c>
      <c r="C291" s="9"/>
      <c r="D291" s="16">
        <v>804</v>
      </c>
      <c r="E291" s="9">
        <f t="shared" si="4"/>
        <v>1005.0000000000001</v>
      </c>
    </row>
    <row r="292" ht="68">
      <c r="A292" s="4" t="s">
        <v>255</v>
      </c>
      <c r="B292" s="9">
        <v>300</v>
      </c>
      <c r="C292" s="9"/>
      <c r="D292" s="16">
        <v>1428</v>
      </c>
      <c r="E292" s="9">
        <f t="shared" ref="E292:E355" si="5">D292/80*100</f>
        <v>1785.0000000000002</v>
      </c>
    </row>
    <row r="293" ht="21">
      <c r="A293" s="4" t="s">
        <v>256</v>
      </c>
      <c r="B293" s="9">
        <v>180</v>
      </c>
      <c r="C293" s="9"/>
      <c r="D293" s="16">
        <v>792</v>
      </c>
      <c r="E293" s="9">
        <f t="shared" si="5"/>
        <v>990</v>
      </c>
    </row>
    <row r="294" ht="21">
      <c r="A294" s="4" t="s">
        <v>257</v>
      </c>
      <c r="B294" s="9">
        <v>130</v>
      </c>
      <c r="C294" s="9"/>
      <c r="D294" s="16">
        <v>504</v>
      </c>
      <c r="E294" s="9">
        <f t="shared" si="5"/>
        <v>630</v>
      </c>
    </row>
    <row r="295">
      <c r="A295" s="4"/>
      <c r="B295" s="3"/>
      <c r="C295" s="3"/>
      <c r="D295" s="3"/>
    </row>
    <row r="296" ht="25">
      <c r="A296" s="8" t="s">
        <v>258</v>
      </c>
      <c r="B296" s="3"/>
      <c r="C296" s="3"/>
      <c r="D296" s="3"/>
    </row>
    <row r="297" ht="21">
      <c r="A297" s="4" t="s">
        <v>259</v>
      </c>
      <c r="B297" s="9">
        <v>155</v>
      </c>
      <c r="C297" s="9"/>
      <c r="D297" s="16">
        <v>876</v>
      </c>
      <c r="E297" s="9">
        <f t="shared" si="5"/>
        <v>1095</v>
      </c>
    </row>
    <row r="298" ht="21">
      <c r="A298" s="4" t="s">
        <v>260</v>
      </c>
      <c r="B298" s="9">
        <v>100</v>
      </c>
      <c r="C298" s="9"/>
      <c r="D298" s="16">
        <v>324</v>
      </c>
      <c r="E298" s="9">
        <f t="shared" si="5"/>
        <v>405</v>
      </c>
    </row>
    <row r="299" ht="21">
      <c r="A299" s="4" t="s">
        <v>261</v>
      </c>
      <c r="B299" s="9">
        <v>100</v>
      </c>
      <c r="C299" s="9"/>
      <c r="D299" s="16">
        <v>252</v>
      </c>
      <c r="E299" s="9">
        <f t="shared" si="5"/>
        <v>315</v>
      </c>
    </row>
    <row r="300" ht="21">
      <c r="A300" s="4" t="s">
        <v>262</v>
      </c>
      <c r="B300" s="9">
        <v>350</v>
      </c>
      <c r="C300" s="9"/>
      <c r="D300" s="16">
        <v>978</v>
      </c>
      <c r="E300" s="10">
        <f t="shared" si="5"/>
        <v>1222.5</v>
      </c>
    </row>
    <row r="301" ht="21">
      <c r="A301" s="4" t="s">
        <v>263</v>
      </c>
      <c r="B301" s="9">
        <v>100</v>
      </c>
      <c r="C301" s="9"/>
      <c r="D301" s="16">
        <v>642</v>
      </c>
      <c r="E301" s="10">
        <f t="shared" si="5"/>
        <v>802.5</v>
      </c>
    </row>
    <row r="302" ht="21">
      <c r="A302" s="4" t="s">
        <v>264</v>
      </c>
      <c r="B302" s="9">
        <v>120</v>
      </c>
      <c r="C302" s="9"/>
      <c r="D302" s="16">
        <v>336</v>
      </c>
      <c r="E302" s="9">
        <f t="shared" si="5"/>
        <v>420</v>
      </c>
    </row>
    <row r="303" ht="21">
      <c r="A303" s="4" t="s">
        <v>265</v>
      </c>
      <c r="B303" s="9">
        <v>100</v>
      </c>
      <c r="C303" s="9"/>
      <c r="D303" s="16">
        <v>588</v>
      </c>
      <c r="E303" s="9">
        <f t="shared" si="5"/>
        <v>735</v>
      </c>
    </row>
    <row r="304" ht="21">
      <c r="A304" s="4" t="s">
        <v>224</v>
      </c>
      <c r="B304" s="9">
        <v>100</v>
      </c>
      <c r="C304" s="9"/>
      <c r="D304" s="16">
        <v>204</v>
      </c>
      <c r="E304" s="9">
        <f t="shared" si="5"/>
        <v>254.99999999999997</v>
      </c>
    </row>
    <row r="305" ht="21">
      <c r="A305" s="4" t="s">
        <v>266</v>
      </c>
      <c r="B305" s="9">
        <v>300</v>
      </c>
      <c r="C305" s="9"/>
      <c r="D305" s="16">
        <v>642</v>
      </c>
      <c r="E305" s="10">
        <f t="shared" si="5"/>
        <v>802.5</v>
      </c>
    </row>
    <row r="306" ht="21">
      <c r="A306" s="4" t="s">
        <v>267</v>
      </c>
      <c r="B306" s="9">
        <v>150</v>
      </c>
      <c r="C306" s="9"/>
      <c r="D306" s="16">
        <v>768</v>
      </c>
      <c r="E306" s="9">
        <f t="shared" si="5"/>
        <v>960</v>
      </c>
    </row>
    <row r="307" ht="34">
      <c r="A307" s="4" t="s">
        <v>268</v>
      </c>
      <c r="B307" s="9">
        <v>320</v>
      </c>
      <c r="C307" s="9"/>
      <c r="D307" s="16">
        <v>708</v>
      </c>
      <c r="E307" s="9">
        <f t="shared" si="5"/>
        <v>885</v>
      </c>
    </row>
    <row r="308">
      <c r="A308" s="4"/>
      <c r="B308" s="3"/>
      <c r="C308" s="3"/>
      <c r="D308" s="3"/>
    </row>
    <row r="309" ht="25">
      <c r="A309" s="8" t="s">
        <v>269</v>
      </c>
      <c r="B309" s="3"/>
      <c r="C309" s="3"/>
      <c r="D309" s="3"/>
    </row>
    <row r="310" ht="21">
      <c r="A310" s="4" t="s">
        <v>270</v>
      </c>
      <c r="B310" s="9">
        <v>100</v>
      </c>
      <c r="C310" s="9"/>
      <c r="D310" s="16">
        <v>420</v>
      </c>
      <c r="E310" s="9">
        <f t="shared" si="5"/>
        <v>525</v>
      </c>
    </row>
    <row r="311" ht="21">
      <c r="A311" s="4" t="s">
        <v>271</v>
      </c>
      <c r="B311" s="9">
        <v>50</v>
      </c>
      <c r="C311" s="9"/>
      <c r="D311" s="16">
        <v>180</v>
      </c>
      <c r="E311" s="9">
        <f t="shared" si="5"/>
        <v>225</v>
      </c>
    </row>
    <row r="312" ht="21">
      <c r="A312" s="4" t="s">
        <v>272</v>
      </c>
      <c r="B312" s="9">
        <v>50</v>
      </c>
      <c r="C312" s="9"/>
      <c r="D312" s="16">
        <v>252</v>
      </c>
      <c r="E312" s="9">
        <f t="shared" si="5"/>
        <v>315</v>
      </c>
    </row>
    <row r="313">
      <c r="A313" s="4"/>
      <c r="B313" s="3"/>
      <c r="C313" s="3"/>
      <c r="D313" s="3"/>
    </row>
    <row r="314" ht="25">
      <c r="A314" s="8" t="s">
        <v>273</v>
      </c>
      <c r="B314" s="3"/>
      <c r="C314" s="3"/>
      <c r="D314" s="3"/>
    </row>
    <row r="315" ht="21">
      <c r="A315" s="4" t="s">
        <v>274</v>
      </c>
      <c r="B315" s="9">
        <v>100</v>
      </c>
      <c r="C315" s="9"/>
      <c r="D315" s="16">
        <v>186</v>
      </c>
      <c r="E315" s="10">
        <f t="shared" si="5"/>
        <v>232.50000000000003</v>
      </c>
    </row>
    <row r="316" ht="21">
      <c r="A316" s="4" t="s">
        <v>275</v>
      </c>
      <c r="B316" s="9">
        <v>100</v>
      </c>
      <c r="C316" s="9"/>
      <c r="D316" s="16">
        <v>252</v>
      </c>
      <c r="E316" s="9">
        <f t="shared" si="5"/>
        <v>315</v>
      </c>
    </row>
    <row r="317" ht="21">
      <c r="A317" s="4" t="s">
        <v>276</v>
      </c>
      <c r="B317" s="9">
        <v>330</v>
      </c>
      <c r="C317" s="9"/>
      <c r="D317" s="16">
        <v>378</v>
      </c>
      <c r="E317" s="10">
        <f t="shared" si="5"/>
        <v>472.49999999999994</v>
      </c>
    </row>
    <row r="318" ht="21">
      <c r="A318" s="4" t="s">
        <v>277</v>
      </c>
      <c r="B318" s="9">
        <v>330</v>
      </c>
      <c r="C318" s="9"/>
      <c r="D318" s="16">
        <v>302</v>
      </c>
      <c r="E318" s="10">
        <f t="shared" si="5"/>
        <v>377.5</v>
      </c>
    </row>
    <row r="319">
      <c r="A319" s="4"/>
      <c r="B319" s="3"/>
      <c r="C319" s="3"/>
      <c r="D319" s="3"/>
    </row>
    <row r="320" ht="25">
      <c r="A320" s="8" t="s">
        <v>278</v>
      </c>
      <c r="B320" s="3"/>
      <c r="C320" s="3"/>
      <c r="D320" s="3"/>
    </row>
    <row r="321" ht="51">
      <c r="A321" s="4" t="s">
        <v>279</v>
      </c>
      <c r="B321" s="9">
        <v>330</v>
      </c>
      <c r="C321" s="9"/>
      <c r="D321" s="16">
        <v>1002</v>
      </c>
      <c r="E321" s="10">
        <f t="shared" si="5"/>
        <v>1252.5</v>
      </c>
    </row>
    <row r="322" ht="21">
      <c r="A322" s="4" t="s">
        <v>280</v>
      </c>
      <c r="B322" s="9">
        <v>330</v>
      </c>
      <c r="C322" s="9"/>
      <c r="D322" s="16">
        <v>882</v>
      </c>
      <c r="E322" s="10">
        <f t="shared" si="5"/>
        <v>1102.5</v>
      </c>
    </row>
    <row r="323" ht="34">
      <c r="A323" s="4" t="s">
        <v>281</v>
      </c>
      <c r="B323" s="9">
        <v>330</v>
      </c>
      <c r="C323" s="9"/>
      <c r="D323" s="16">
        <v>834</v>
      </c>
      <c r="E323" s="10">
        <f t="shared" si="5"/>
        <v>1042.5</v>
      </c>
    </row>
    <row r="324" ht="34">
      <c r="A324" s="4" t="s">
        <v>282</v>
      </c>
      <c r="B324" s="9">
        <v>330</v>
      </c>
      <c r="C324" s="9"/>
      <c r="D324" s="16">
        <v>750</v>
      </c>
      <c r="E324" s="10">
        <f t="shared" si="5"/>
        <v>937.5</v>
      </c>
    </row>
    <row r="325" ht="34">
      <c r="A325" s="4" t="s">
        <v>283</v>
      </c>
      <c r="B325" s="9">
        <v>330</v>
      </c>
      <c r="C325" s="9"/>
      <c r="D325" s="16">
        <v>696</v>
      </c>
      <c r="E325" s="9">
        <f t="shared" si="5"/>
        <v>869.99999999999989</v>
      </c>
    </row>
    <row r="326" ht="34">
      <c r="A326" s="4" t="s">
        <v>284</v>
      </c>
      <c r="B326" s="9">
        <v>330</v>
      </c>
      <c r="C326" s="9"/>
      <c r="D326" s="16">
        <v>732</v>
      </c>
      <c r="E326" s="9">
        <f t="shared" si="5"/>
        <v>915</v>
      </c>
    </row>
    <row r="327" ht="34">
      <c r="A327" s="4" t="s">
        <v>285</v>
      </c>
      <c r="B327" s="9">
        <v>330</v>
      </c>
      <c r="C327" s="9"/>
      <c r="D327" s="16">
        <v>684</v>
      </c>
      <c r="E327" s="9">
        <f t="shared" si="5"/>
        <v>855.00000000000011</v>
      </c>
    </row>
    <row r="328" ht="21">
      <c r="A328" s="4" t="s">
        <v>286</v>
      </c>
      <c r="B328" s="9">
        <v>330</v>
      </c>
      <c r="C328" s="9"/>
      <c r="D328" s="16">
        <v>750</v>
      </c>
      <c r="E328" s="10">
        <f t="shared" si="5"/>
        <v>937.5</v>
      </c>
    </row>
    <row r="329" ht="34">
      <c r="A329" s="4" t="s">
        <v>287</v>
      </c>
      <c r="B329" s="9">
        <v>330</v>
      </c>
      <c r="C329" s="9"/>
      <c r="D329" s="16">
        <v>654</v>
      </c>
      <c r="E329" s="10">
        <f t="shared" si="5"/>
        <v>817.50000000000011</v>
      </c>
    </row>
    <row r="330" ht="34">
      <c r="A330" s="4" t="s">
        <v>288</v>
      </c>
      <c r="B330" s="9">
        <v>330</v>
      </c>
      <c r="C330" s="9"/>
      <c r="D330" s="16">
        <v>900</v>
      </c>
      <c r="E330" s="9">
        <f t="shared" si="5"/>
        <v>1125</v>
      </c>
    </row>
    <row r="331" ht="34">
      <c r="A331" s="4" t="s">
        <v>289</v>
      </c>
      <c r="B331" s="9">
        <v>330</v>
      </c>
      <c r="C331" s="9"/>
      <c r="D331" s="16">
        <v>732</v>
      </c>
      <c r="E331" s="9">
        <f t="shared" si="5"/>
        <v>915</v>
      </c>
    </row>
    <row r="332">
      <c r="A332" s="4"/>
      <c r="B332" s="3"/>
      <c r="C332" s="3"/>
      <c r="D332" s="3"/>
    </row>
    <row r="333" ht="25">
      <c r="A333" s="8" t="s">
        <v>290</v>
      </c>
      <c r="B333" s="3"/>
      <c r="C333" s="3"/>
      <c r="D333" s="3"/>
    </row>
    <row r="334" ht="21">
      <c r="A334" s="4" t="s">
        <v>291</v>
      </c>
      <c r="B334" s="9">
        <v>40</v>
      </c>
      <c r="C334" s="9"/>
      <c r="D334" s="16">
        <v>162</v>
      </c>
      <c r="E334" s="10">
        <f t="shared" si="5"/>
        <v>202.5</v>
      </c>
    </row>
    <row r="335" ht="21">
      <c r="A335" s="4" t="s">
        <v>292</v>
      </c>
      <c r="B335" s="9">
        <v>50</v>
      </c>
      <c r="C335" s="9"/>
      <c r="D335" s="16">
        <v>168</v>
      </c>
      <c r="E335" s="9">
        <f t="shared" si="5"/>
        <v>210</v>
      </c>
    </row>
    <row r="336" ht="21">
      <c r="A336" s="4" t="s">
        <v>293</v>
      </c>
      <c r="B336" s="9">
        <v>40</v>
      </c>
      <c r="C336" s="9"/>
      <c r="D336" s="16">
        <v>156</v>
      </c>
      <c r="E336" s="9">
        <f t="shared" si="5"/>
        <v>195</v>
      </c>
    </row>
    <row r="337" ht="21">
      <c r="A337" s="4" t="s">
        <v>294</v>
      </c>
      <c r="B337" s="9">
        <v>40</v>
      </c>
      <c r="C337" s="9"/>
      <c r="D337" s="16">
        <v>156</v>
      </c>
      <c r="E337" s="9">
        <f t="shared" si="5"/>
        <v>195</v>
      </c>
    </row>
    <row r="338" ht="21">
      <c r="A338" s="4" t="s">
        <v>295</v>
      </c>
      <c r="B338" s="9">
        <v>40</v>
      </c>
      <c r="C338" s="9"/>
      <c r="D338" s="16">
        <v>156</v>
      </c>
      <c r="E338" s="9">
        <f t="shared" si="5"/>
        <v>195</v>
      </c>
    </row>
    <row r="339" ht="21">
      <c r="A339" s="4" t="s">
        <v>296</v>
      </c>
      <c r="B339" s="9">
        <v>40</v>
      </c>
      <c r="C339" s="9"/>
      <c r="D339" s="16">
        <v>168</v>
      </c>
      <c r="E339" s="9">
        <f t="shared" si="5"/>
        <v>210</v>
      </c>
    </row>
    <row r="340" ht="21">
      <c r="A340" s="4" t="s">
        <v>297</v>
      </c>
      <c r="B340" s="9">
        <v>40</v>
      </c>
      <c r="C340" s="9"/>
      <c r="D340" s="16">
        <v>168</v>
      </c>
      <c r="E340" s="9">
        <f t="shared" si="5"/>
        <v>210</v>
      </c>
    </row>
    <row r="341" ht="21">
      <c r="A341" s="4" t="s">
        <v>298</v>
      </c>
      <c r="B341" s="9">
        <v>25</v>
      </c>
      <c r="C341" s="9"/>
      <c r="D341" s="16">
        <v>102</v>
      </c>
      <c r="E341" s="10">
        <f t="shared" si="5"/>
        <v>127.49999999999999</v>
      </c>
    </row>
    <row r="342" ht="21">
      <c r="A342" s="4" t="s">
        <v>299</v>
      </c>
      <c r="B342" s="9">
        <v>25</v>
      </c>
      <c r="C342" s="9"/>
      <c r="D342" s="16">
        <v>90</v>
      </c>
      <c r="E342" s="10">
        <f t="shared" si="5"/>
        <v>112.5</v>
      </c>
    </row>
    <row r="343" ht="21">
      <c r="A343" s="4" t="s">
        <v>300</v>
      </c>
      <c r="B343" s="9">
        <v>50</v>
      </c>
      <c r="C343" s="9"/>
      <c r="D343" s="16">
        <v>204</v>
      </c>
      <c r="E343" s="9">
        <f t="shared" si="5"/>
        <v>254.99999999999997</v>
      </c>
    </row>
    <row r="344" ht="21">
      <c r="A344" s="4" t="s">
        <v>301</v>
      </c>
      <c r="B344" s="9">
        <v>50</v>
      </c>
      <c r="C344" s="9"/>
      <c r="D344" s="16">
        <v>168</v>
      </c>
      <c r="E344" s="9">
        <f t="shared" si="5"/>
        <v>210</v>
      </c>
    </row>
    <row r="345" ht="21">
      <c r="A345" s="4" t="s">
        <v>302</v>
      </c>
      <c r="B345" s="9">
        <v>50</v>
      </c>
      <c r="C345" s="9"/>
      <c r="D345" s="16">
        <v>102</v>
      </c>
      <c r="E345" s="10">
        <f t="shared" si="5"/>
        <v>127.49999999999999</v>
      </c>
    </row>
    <row r="346" ht="21">
      <c r="A346" s="4" t="s">
        <v>303</v>
      </c>
      <c r="B346" s="9">
        <v>50</v>
      </c>
      <c r="C346" s="9"/>
      <c r="D346" s="16">
        <v>126</v>
      </c>
      <c r="E346" s="10">
        <f t="shared" si="5"/>
        <v>157.5</v>
      </c>
    </row>
    <row r="347" ht="21">
      <c r="A347" s="4" t="s">
        <v>304</v>
      </c>
      <c r="B347" s="9">
        <v>50</v>
      </c>
      <c r="C347" s="9"/>
      <c r="D347" s="16">
        <v>150</v>
      </c>
      <c r="E347" s="10">
        <f t="shared" si="5"/>
        <v>187.5</v>
      </c>
    </row>
    <row r="348" ht="21">
      <c r="A348" s="4" t="s">
        <v>305</v>
      </c>
      <c r="B348" s="9">
        <v>50</v>
      </c>
      <c r="C348" s="9"/>
      <c r="D348" s="16">
        <v>186</v>
      </c>
      <c r="E348" s="10">
        <f t="shared" si="5"/>
        <v>232.50000000000003</v>
      </c>
    </row>
    <row r="349" ht="21">
      <c r="A349" s="4" t="s">
        <v>306</v>
      </c>
      <c r="B349" s="9">
        <v>50</v>
      </c>
      <c r="C349" s="9"/>
      <c r="D349" s="16">
        <v>204</v>
      </c>
      <c r="E349" s="9">
        <f t="shared" si="5"/>
        <v>254.99999999999997</v>
      </c>
    </row>
    <row r="350" ht="17">
      <c r="A350" s="4" t="s">
        <v>307</v>
      </c>
      <c r="B350" s="9">
        <v>1</v>
      </c>
      <c r="C350" s="9"/>
      <c r="D350" s="3"/>
    </row>
    <row r="351" ht="25">
      <c r="A351" s="8" t="s">
        <v>308</v>
      </c>
      <c r="B351" s="3"/>
      <c r="C351" s="3"/>
      <c r="D351" s="3"/>
    </row>
    <row r="352" ht="21">
      <c r="A352" s="4" t="s">
        <v>309</v>
      </c>
      <c r="B352" s="9">
        <v>130</v>
      </c>
      <c r="C352" s="9"/>
      <c r="D352" s="16">
        <v>624</v>
      </c>
      <c r="E352" s="9">
        <f t="shared" si="5"/>
        <v>780</v>
      </c>
    </row>
    <row r="353" ht="25">
      <c r="A353" s="8" t="s">
        <v>310</v>
      </c>
      <c r="B353" s="3"/>
      <c r="C353" s="3"/>
      <c r="D353" s="3"/>
    </row>
    <row r="354" ht="21">
      <c r="A354" s="4" t="s">
        <v>311</v>
      </c>
      <c r="B354" s="9">
        <v>40</v>
      </c>
      <c r="C354" s="9"/>
      <c r="D354" s="16">
        <v>150</v>
      </c>
      <c r="E354" s="10">
        <f t="shared" si="5"/>
        <v>187.5</v>
      </c>
    </row>
    <row r="355" ht="21">
      <c r="A355" s="4" t="s">
        <v>312</v>
      </c>
      <c r="B355" s="9">
        <v>40</v>
      </c>
      <c r="C355" s="9"/>
      <c r="D355" s="16">
        <v>168</v>
      </c>
      <c r="E355" s="9">
        <f t="shared" si="5"/>
        <v>210</v>
      </c>
    </row>
    <row r="356" ht="21">
      <c r="A356" s="4" t="s">
        <v>313</v>
      </c>
      <c r="B356" s="9">
        <v>40</v>
      </c>
      <c r="C356" s="9"/>
      <c r="D356" s="16">
        <v>150</v>
      </c>
      <c r="E356" s="10">
        <f t="shared" ref="E356:E419" si="6">D356/80*100</f>
        <v>187.5</v>
      </c>
    </row>
    <row r="357" ht="21">
      <c r="A357" s="4" t="s">
        <v>314</v>
      </c>
      <c r="B357" s="9">
        <v>50</v>
      </c>
      <c r="C357" s="9"/>
      <c r="D357" s="16">
        <v>302</v>
      </c>
      <c r="E357" s="10">
        <f t="shared" si="6"/>
        <v>377.5</v>
      </c>
    </row>
    <row r="358" ht="21">
      <c r="A358" s="4" t="s">
        <v>315</v>
      </c>
      <c r="B358" s="9">
        <v>50</v>
      </c>
      <c r="C358" s="9"/>
      <c r="D358" s="16">
        <v>198</v>
      </c>
      <c r="E358" s="10">
        <f t="shared" si="6"/>
        <v>247.5</v>
      </c>
    </row>
    <row r="359" ht="21">
      <c r="A359" s="4" t="s">
        <v>316</v>
      </c>
      <c r="B359" s="9">
        <v>50</v>
      </c>
      <c r="C359" s="9"/>
      <c r="D359" s="16">
        <v>198</v>
      </c>
      <c r="E359" s="10">
        <f t="shared" si="6"/>
        <v>247.5</v>
      </c>
    </row>
    <row r="360" ht="34">
      <c r="A360" s="4" t="s">
        <v>317</v>
      </c>
      <c r="B360" s="9">
        <v>50</v>
      </c>
      <c r="C360" s="9"/>
      <c r="D360" s="16">
        <v>252</v>
      </c>
      <c r="E360" s="9">
        <f t="shared" si="6"/>
        <v>315</v>
      </c>
    </row>
    <row r="361" ht="21">
      <c r="A361" s="4" t="s">
        <v>318</v>
      </c>
      <c r="B361" s="9">
        <v>50</v>
      </c>
      <c r="C361" s="9"/>
      <c r="D361" s="16">
        <v>222</v>
      </c>
      <c r="E361" s="10">
        <f t="shared" si="6"/>
        <v>277.5</v>
      </c>
    </row>
    <row r="362" ht="21">
      <c r="A362" s="4" t="s">
        <v>319</v>
      </c>
      <c r="B362" s="9">
        <v>35</v>
      </c>
      <c r="C362" s="9"/>
      <c r="D362" s="16">
        <v>168</v>
      </c>
      <c r="E362" s="9">
        <f t="shared" si="6"/>
        <v>210</v>
      </c>
    </row>
    <row r="363" ht="21">
      <c r="A363" s="4" t="s">
        <v>320</v>
      </c>
      <c r="B363" s="9">
        <v>35</v>
      </c>
      <c r="C363" s="9"/>
      <c r="D363" s="16">
        <v>222</v>
      </c>
      <c r="E363" s="10">
        <f t="shared" si="6"/>
        <v>277.5</v>
      </c>
    </row>
    <row r="364" ht="21">
      <c r="A364" s="4" t="s">
        <v>321</v>
      </c>
      <c r="B364" s="9">
        <v>30</v>
      </c>
      <c r="C364" s="9"/>
      <c r="D364" s="16">
        <v>108</v>
      </c>
      <c r="E364" s="9">
        <f t="shared" si="6"/>
        <v>135</v>
      </c>
    </row>
    <row r="365" ht="21">
      <c r="A365" s="4" t="s">
        <v>322</v>
      </c>
      <c r="B365" s="9">
        <v>350</v>
      </c>
      <c r="C365" s="9"/>
      <c r="D365" s="16">
        <v>2268</v>
      </c>
      <c r="E365" s="9">
        <f t="shared" si="6"/>
        <v>2835</v>
      </c>
    </row>
    <row r="366" ht="21">
      <c r="A366" s="4" t="s">
        <v>323</v>
      </c>
      <c r="B366" s="9">
        <v>60</v>
      </c>
      <c r="C366" s="9"/>
      <c r="D366" s="16">
        <v>420</v>
      </c>
      <c r="E366" s="9">
        <f t="shared" si="6"/>
        <v>525</v>
      </c>
    </row>
    <row r="367" ht="21">
      <c r="A367" s="4" t="s">
        <v>324</v>
      </c>
      <c r="B367" s="9">
        <v>120</v>
      </c>
      <c r="C367" s="9"/>
      <c r="D367" s="16">
        <v>438</v>
      </c>
      <c r="E367" s="10">
        <f t="shared" si="6"/>
        <v>547.5</v>
      </c>
    </row>
    <row r="368" ht="21">
      <c r="A368" s="4" t="s">
        <v>325</v>
      </c>
      <c r="B368" s="9">
        <v>60</v>
      </c>
      <c r="C368" s="9"/>
      <c r="D368" s="16">
        <v>372</v>
      </c>
      <c r="E368" s="9">
        <f t="shared" si="6"/>
        <v>465.00000000000006</v>
      </c>
    </row>
    <row r="369" ht="34">
      <c r="A369" s="4" t="s">
        <v>326</v>
      </c>
      <c r="B369" s="9">
        <v>1000</v>
      </c>
      <c r="C369" s="9"/>
      <c r="D369" s="16">
        <v>2340</v>
      </c>
      <c r="E369" s="9">
        <f t="shared" si="6"/>
        <v>2925</v>
      </c>
    </row>
    <row r="370" ht="25">
      <c r="A370" s="8" t="s">
        <v>327</v>
      </c>
      <c r="B370" s="3"/>
      <c r="C370" s="3"/>
      <c r="D370" s="3"/>
    </row>
    <row r="371" ht="21">
      <c r="A371" s="13" t="s">
        <v>328</v>
      </c>
      <c r="B371" s="3"/>
      <c r="C371" s="3"/>
      <c r="D371" s="16">
        <v>3000</v>
      </c>
      <c r="E371" s="9">
        <f t="shared" si="6"/>
        <v>3750</v>
      </c>
    </row>
    <row r="372" ht="17">
      <c r="A372" s="4" t="s">
        <v>329</v>
      </c>
      <c r="B372" s="3"/>
      <c r="C372" s="3"/>
      <c r="D372" s="3"/>
    </row>
    <row r="373" ht="17">
      <c r="A373" s="4" t="s">
        <v>330</v>
      </c>
      <c r="B373" s="3"/>
      <c r="C373" s="3"/>
      <c r="D373" s="3"/>
    </row>
    <row r="374" ht="17">
      <c r="A374" s="4" t="s">
        <v>331</v>
      </c>
      <c r="B374" s="3"/>
      <c r="C374" s="3"/>
      <c r="D374" s="3"/>
    </row>
    <row r="375" ht="17">
      <c r="A375" s="4" t="s">
        <v>332</v>
      </c>
      <c r="B375" s="3"/>
      <c r="C375" s="3"/>
      <c r="D375" s="3"/>
    </row>
    <row r="376" ht="17">
      <c r="A376" s="4" t="s">
        <v>333</v>
      </c>
      <c r="B376" s="3"/>
      <c r="C376" s="3"/>
      <c r="D376" s="3"/>
    </row>
    <row r="377" ht="17">
      <c r="A377" s="4" t="s">
        <v>334</v>
      </c>
      <c r="B377" s="3"/>
      <c r="C377" s="3"/>
      <c r="D377" s="3"/>
    </row>
    <row r="378" ht="17">
      <c r="A378" s="4" t="s">
        <v>335</v>
      </c>
      <c r="B378" s="3"/>
      <c r="C378" s="3"/>
      <c r="D378" s="3"/>
    </row>
    <row r="379" ht="17">
      <c r="A379" s="4" t="s">
        <v>336</v>
      </c>
      <c r="B379" s="3"/>
      <c r="C379" s="3"/>
      <c r="D379" s="3"/>
    </row>
    <row r="380" ht="17">
      <c r="A380" s="4" t="s">
        <v>337</v>
      </c>
      <c r="B380" s="3"/>
      <c r="C380" s="3"/>
      <c r="D380" s="3"/>
    </row>
    <row r="381" ht="17">
      <c r="A381" s="4" t="s">
        <v>315</v>
      </c>
      <c r="B381" s="3"/>
      <c r="C381" s="3"/>
      <c r="D381" s="3"/>
    </row>
    <row r="382" ht="17">
      <c r="A382" s="4" t="s">
        <v>338</v>
      </c>
      <c r="B382" s="3"/>
      <c r="C382" s="3"/>
      <c r="D382" s="3"/>
    </row>
    <row r="383" ht="17">
      <c r="A383" s="4" t="s">
        <v>339</v>
      </c>
      <c r="B383" s="3"/>
      <c r="C383" s="3"/>
      <c r="D383" s="3"/>
    </row>
    <row r="384" ht="17">
      <c r="A384" s="4" t="s">
        <v>340</v>
      </c>
      <c r="B384" s="3"/>
      <c r="C384" s="3"/>
      <c r="D384" s="3"/>
    </row>
    <row r="385" ht="17">
      <c r="A385" s="13" t="s">
        <v>341</v>
      </c>
      <c r="B385" s="3"/>
      <c r="C385" s="3"/>
      <c r="D385" s="3"/>
    </row>
    <row r="386" ht="17">
      <c r="A386" s="4" t="s">
        <v>342</v>
      </c>
      <c r="B386" s="3"/>
      <c r="C386" s="3"/>
      <c r="D386" s="3"/>
    </row>
    <row r="387" ht="17">
      <c r="A387" s="4" t="s">
        <v>343</v>
      </c>
      <c r="B387" s="3"/>
      <c r="C387" s="3"/>
      <c r="D387" s="3"/>
    </row>
    <row r="388" ht="17">
      <c r="A388" s="4" t="s">
        <v>344</v>
      </c>
      <c r="B388" s="3"/>
      <c r="C388" s="3"/>
      <c r="D388" s="3"/>
    </row>
    <row r="389" ht="17">
      <c r="A389" s="4" t="s">
        <v>345</v>
      </c>
      <c r="B389" s="3"/>
      <c r="C389" s="3"/>
      <c r="D389" s="3"/>
    </row>
    <row r="390" ht="17">
      <c r="A390" s="4" t="s">
        <v>346</v>
      </c>
      <c r="B390" s="3"/>
      <c r="C390" s="3"/>
      <c r="D390" s="3"/>
    </row>
    <row r="391" ht="17">
      <c r="A391" s="4" t="s">
        <v>330</v>
      </c>
      <c r="B391" s="3"/>
      <c r="C391" s="3"/>
      <c r="D391" s="3"/>
    </row>
    <row r="392" ht="17">
      <c r="A392" s="4" t="s">
        <v>347</v>
      </c>
      <c r="B392" s="3"/>
      <c r="C392" s="3"/>
      <c r="D392" s="3"/>
    </row>
    <row r="393" ht="17">
      <c r="A393" s="4" t="s">
        <v>348</v>
      </c>
      <c r="B393" s="3"/>
      <c r="C393" s="3"/>
      <c r="D393" s="3"/>
    </row>
    <row r="394" ht="17">
      <c r="A394" s="4" t="s">
        <v>349</v>
      </c>
      <c r="B394" s="3"/>
      <c r="C394" s="3"/>
      <c r="D394" s="3"/>
    </row>
    <row r="395" ht="17">
      <c r="A395" s="4" t="s">
        <v>350</v>
      </c>
      <c r="B395" s="3"/>
      <c r="C395" s="3"/>
      <c r="D395" s="3"/>
    </row>
    <row r="396" ht="17">
      <c r="A396" s="13" t="s">
        <v>351</v>
      </c>
      <c r="B396" s="3"/>
      <c r="C396" s="3"/>
      <c r="D396" s="3"/>
    </row>
    <row r="397" ht="18.75">
      <c r="A397" s="4" t="s">
        <v>352</v>
      </c>
      <c r="B397" s="9">
        <v>150</v>
      </c>
      <c r="C397" s="9"/>
      <c r="D397" s="16">
        <v>840</v>
      </c>
      <c r="E397" s="9">
        <f t="shared" si="6"/>
        <v>1050</v>
      </c>
    </row>
    <row r="398" ht="18.75">
      <c r="A398" s="4" t="s">
        <v>353</v>
      </c>
      <c r="B398" s="9">
        <v>200</v>
      </c>
      <c r="C398" s="9"/>
      <c r="D398" s="16">
        <v>840</v>
      </c>
      <c r="E398" s="9">
        <f t="shared" si="6"/>
        <v>1050</v>
      </c>
    </row>
    <row r="399" ht="18.75">
      <c r="A399" s="4" t="s">
        <v>354</v>
      </c>
      <c r="B399" s="9">
        <v>200</v>
      </c>
      <c r="C399" s="9"/>
      <c r="D399" s="16">
        <v>1680</v>
      </c>
      <c r="E399" s="9">
        <f t="shared" si="6"/>
        <v>2100</v>
      </c>
    </row>
    <row r="400" ht="18.75">
      <c r="A400" s="4" t="s">
        <v>355</v>
      </c>
      <c r="B400" s="9">
        <v>1</v>
      </c>
      <c r="C400" s="9"/>
      <c r="D400" s="16">
        <v>1680</v>
      </c>
      <c r="E400" s="9">
        <f t="shared" si="6"/>
        <v>2100</v>
      </c>
    </row>
    <row r="401" ht="18.75">
      <c r="A401" s="4" t="s">
        <v>356</v>
      </c>
      <c r="B401" s="9">
        <v>1</v>
      </c>
      <c r="C401" s="9"/>
      <c r="D401" s="16">
        <v>1680</v>
      </c>
      <c r="E401" s="9">
        <f t="shared" si="6"/>
        <v>2100</v>
      </c>
    </row>
    <row r="402" ht="18.75">
      <c r="A402" s="4" t="s">
        <v>357</v>
      </c>
      <c r="B402" s="9">
        <v>1</v>
      </c>
      <c r="C402" s="9"/>
      <c r="D402" s="16">
        <v>1680</v>
      </c>
      <c r="E402" s="9">
        <f t="shared" si="6"/>
        <v>2100</v>
      </c>
    </row>
    <row r="403" ht="18.75">
      <c r="A403" s="4" t="s">
        <v>358</v>
      </c>
      <c r="B403" s="9">
        <v>1</v>
      </c>
      <c r="C403" s="9"/>
      <c r="D403" s="16">
        <v>840</v>
      </c>
      <c r="E403" s="9">
        <f t="shared" si="6"/>
        <v>1050</v>
      </c>
    </row>
    <row r="404">
      <c r="A404" s="4"/>
      <c r="B404" s="3"/>
      <c r="C404" s="3"/>
      <c r="D404" s="3"/>
    </row>
    <row r="405" ht="23.25">
      <c r="A405" s="8" t="s">
        <v>359</v>
      </c>
      <c r="B405" s="3"/>
      <c r="C405" s="3"/>
      <c r="D405" s="3"/>
    </row>
    <row r="406" ht="18.75">
      <c r="A406" s="4" t="s">
        <v>360</v>
      </c>
      <c r="B406" s="9">
        <v>250</v>
      </c>
      <c r="C406" s="9"/>
      <c r="D406" s="16">
        <v>335</v>
      </c>
      <c r="E406" s="10">
        <f t="shared" si="6"/>
        <v>418.75</v>
      </c>
    </row>
    <row r="407" ht="18.75">
      <c r="A407" s="4" t="s">
        <v>361</v>
      </c>
      <c r="B407" s="9">
        <v>250</v>
      </c>
      <c r="C407" s="9"/>
      <c r="D407" s="16">
        <v>500</v>
      </c>
      <c r="E407" s="9">
        <f t="shared" si="6"/>
        <v>625</v>
      </c>
    </row>
    <row r="408" ht="18.75">
      <c r="A408" s="4" t="s">
        <v>362</v>
      </c>
      <c r="B408" s="9">
        <v>250</v>
      </c>
      <c r="C408" s="9"/>
      <c r="D408" s="16">
        <v>500</v>
      </c>
      <c r="E408" s="9">
        <f t="shared" si="6"/>
        <v>625</v>
      </c>
    </row>
    <row r="409" ht="18.75">
      <c r="A409" s="4" t="s">
        <v>363</v>
      </c>
      <c r="B409" s="9">
        <v>250</v>
      </c>
      <c r="C409" s="9"/>
      <c r="D409" s="16">
        <v>675</v>
      </c>
      <c r="E409" s="10">
        <f t="shared" si="6"/>
        <v>843.75</v>
      </c>
    </row>
    <row r="410" ht="18.75">
      <c r="A410" s="4" t="s">
        <v>364</v>
      </c>
      <c r="B410" s="9">
        <v>150</v>
      </c>
      <c r="C410" s="9"/>
      <c r="D410" s="16">
        <v>420</v>
      </c>
      <c r="E410" s="9">
        <f t="shared" si="6"/>
        <v>525</v>
      </c>
    </row>
    <row r="411">
      <c r="A411" s="4"/>
      <c r="B411" s="3"/>
      <c r="C411" s="3"/>
      <c r="D411" s="3"/>
    </row>
    <row r="412" ht="23.25">
      <c r="A412" s="8" t="s">
        <v>365</v>
      </c>
      <c r="B412" s="3"/>
      <c r="C412" s="3"/>
      <c r="D412" s="3"/>
    </row>
    <row r="413" ht="18.75">
      <c r="A413" s="4" t="s">
        <v>366</v>
      </c>
      <c r="B413" s="9">
        <v>500</v>
      </c>
      <c r="C413" s="9"/>
      <c r="D413" s="16">
        <v>120</v>
      </c>
      <c r="E413" s="9">
        <f t="shared" si="6"/>
        <v>150</v>
      </c>
    </row>
    <row r="414" ht="18.75">
      <c r="A414" s="4" t="s">
        <v>366</v>
      </c>
      <c r="B414" s="9">
        <v>330</v>
      </c>
      <c r="C414" s="9"/>
      <c r="D414" s="16">
        <v>85</v>
      </c>
      <c r="E414" s="10">
        <f t="shared" si="6"/>
        <v>106.25</v>
      </c>
    </row>
    <row r="415" ht="18.75">
      <c r="A415" s="4" t="s">
        <v>367</v>
      </c>
      <c r="B415" s="9">
        <v>500</v>
      </c>
      <c r="C415" s="9"/>
      <c r="D415" s="16">
        <v>168</v>
      </c>
      <c r="E415" s="9">
        <f t="shared" si="6"/>
        <v>210</v>
      </c>
    </row>
    <row r="416" ht="18.75">
      <c r="A416" s="4" t="s">
        <v>367</v>
      </c>
      <c r="B416" s="9">
        <v>330</v>
      </c>
      <c r="C416" s="9"/>
      <c r="D416" s="16">
        <v>140</v>
      </c>
      <c r="E416" s="9">
        <f t="shared" si="6"/>
        <v>175</v>
      </c>
    </row>
    <row r="417" ht="33">
      <c r="A417" s="4" t="s">
        <v>368</v>
      </c>
      <c r="B417" s="9">
        <v>1000</v>
      </c>
      <c r="C417" s="9"/>
      <c r="D417" s="16">
        <v>910</v>
      </c>
      <c r="E417" s="10">
        <f t="shared" si="6"/>
        <v>1137.5</v>
      </c>
    </row>
    <row r="418" ht="18.75">
      <c r="A418" s="4" t="s">
        <v>369</v>
      </c>
      <c r="B418" s="9">
        <v>1000</v>
      </c>
      <c r="C418" s="9"/>
      <c r="D418" s="16">
        <v>770</v>
      </c>
      <c r="E418" s="10">
        <f t="shared" si="6"/>
        <v>962.5</v>
      </c>
    </row>
    <row r="419" ht="18.75">
      <c r="A419" s="4" t="s">
        <v>370</v>
      </c>
      <c r="B419" s="9">
        <v>1000</v>
      </c>
      <c r="C419" s="9"/>
      <c r="D419" s="16">
        <v>770</v>
      </c>
      <c r="E419" s="10">
        <f t="shared" si="6"/>
        <v>962.5</v>
      </c>
    </row>
    <row r="420" ht="18.75">
      <c r="A420" s="4" t="s">
        <v>371</v>
      </c>
      <c r="B420" s="9">
        <v>330</v>
      </c>
      <c r="C420" s="9"/>
      <c r="D420" s="16">
        <v>25</v>
      </c>
      <c r="E420" s="10">
        <f t="shared" ref="E420:E429" si="7">D420/80*100</f>
        <v>31.25</v>
      </c>
    </row>
    <row r="421" ht="18.75">
      <c r="A421" s="4" t="s">
        <v>371</v>
      </c>
      <c r="B421" s="9">
        <v>250</v>
      </c>
      <c r="C421" s="9"/>
      <c r="D421" s="16">
        <v>170</v>
      </c>
      <c r="E421" s="10">
        <f t="shared" si="7"/>
        <v>212.5</v>
      </c>
    </row>
    <row r="422" ht="18.75">
      <c r="A422" s="4" t="s">
        <v>372</v>
      </c>
      <c r="B422" s="9">
        <v>330</v>
      </c>
      <c r="C422" s="9"/>
      <c r="D422" s="16">
        <v>225</v>
      </c>
      <c r="E422" s="10">
        <f t="shared" si="7"/>
        <v>281.25</v>
      </c>
    </row>
    <row r="423" ht="18.75">
      <c r="A423" s="4" t="s">
        <v>372</v>
      </c>
      <c r="B423" s="9">
        <v>250</v>
      </c>
      <c r="C423" s="9"/>
      <c r="D423" s="16">
        <v>175</v>
      </c>
      <c r="E423" s="10">
        <f t="shared" si="7"/>
        <v>218.75</v>
      </c>
    </row>
    <row r="424" ht="18.75">
      <c r="A424" s="4" t="s">
        <v>373</v>
      </c>
      <c r="B424" s="9">
        <v>1000</v>
      </c>
      <c r="C424" s="9"/>
      <c r="D424" s="16">
        <v>1400</v>
      </c>
      <c r="E424" s="9">
        <f t="shared" si="7"/>
        <v>1750</v>
      </c>
    </row>
    <row r="425">
      <c r="A425" s="4"/>
      <c r="B425" s="3"/>
      <c r="C425" s="3"/>
      <c r="D425" s="3"/>
    </row>
    <row r="426" ht="23.25">
      <c r="A426" s="8" t="s">
        <v>374</v>
      </c>
      <c r="B426" s="3"/>
      <c r="C426" s="3"/>
      <c r="D426" s="3"/>
    </row>
    <row r="427" ht="18.75">
      <c r="A427" s="4" t="s">
        <v>375</v>
      </c>
      <c r="B427" s="9">
        <v>220</v>
      </c>
      <c r="C427" s="9"/>
      <c r="D427" s="16">
        <v>115</v>
      </c>
      <c r="E427" s="10">
        <f t="shared" si="7"/>
        <v>143.75</v>
      </c>
    </row>
    <row r="428" ht="18.75">
      <c r="A428" s="4" t="s">
        <v>376</v>
      </c>
      <c r="B428" s="9">
        <v>220</v>
      </c>
      <c r="C428" s="9"/>
      <c r="D428" s="16">
        <v>252</v>
      </c>
      <c r="E428" s="9">
        <f t="shared" si="7"/>
        <v>315</v>
      </c>
    </row>
    <row r="429" ht="18.75">
      <c r="A429" s="4" t="s">
        <v>377</v>
      </c>
      <c r="B429" s="9">
        <v>220</v>
      </c>
      <c r="C429" s="9"/>
      <c r="D429" s="16">
        <v>160</v>
      </c>
      <c r="E429" s="9">
        <f t="shared" si="7"/>
        <v>200</v>
      </c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 ht="17">
      <c r="A432" s="15" t="s">
        <v>378</v>
      </c>
      <c r="B432" s="3"/>
      <c r="C432" s="3"/>
      <c r="D432" s="3"/>
    </row>
    <row r="433" ht="17">
      <c r="A433" s="15" t="s">
        <v>379</v>
      </c>
      <c r="B433" s="3"/>
      <c r="C433" s="3"/>
      <c r="D433" s="3"/>
    </row>
    <row r="434">
      <c r="A434" s="4"/>
      <c r="B434" s="3"/>
      <c r="C434" s="3"/>
      <c r="D434" s="3"/>
    </row>
    <row r="435" ht="17">
      <c r="A435" s="15" t="s">
        <v>380</v>
      </c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 ht="17">
      <c r="A438" s="15" t="s">
        <v>381</v>
      </c>
      <c r="B438" s="3"/>
      <c r="C438" s="3"/>
      <c r="D438" s="3"/>
    </row>
    <row r="439">
      <c r="A439" s="4"/>
      <c r="B439" s="3"/>
      <c r="C439" s="3"/>
      <c r="D439" s="3"/>
    </row>
    <row r="440" ht="17">
      <c r="A440" s="12" t="s">
        <v>382</v>
      </c>
      <c r="B440" s="3"/>
      <c r="C440" s="3"/>
      <c r="D440" s="3"/>
    </row>
    <row r="441" ht="17">
      <c r="A441" s="12" t="s">
        <v>383</v>
      </c>
      <c r="B441" s="3"/>
      <c r="C441" s="3"/>
      <c r="D441" s="3"/>
    </row>
    <row r="442" ht="17">
      <c r="A442" s="12" t="s">
        <v>384</v>
      </c>
      <c r="B442" s="3"/>
      <c r="C442" s="3"/>
      <c r="D442" s="3"/>
    </row>
    <row r="443" ht="17">
      <c r="A443" s="15" t="s">
        <v>385</v>
      </c>
      <c r="B443" s="3"/>
      <c r="C443" s="3"/>
      <c r="D443" s="3"/>
    </row>
    <row r="444" ht="17">
      <c r="A444" s="15" t="s">
        <v>386</v>
      </c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 ht="17">
      <c r="A447" s="15" t="s">
        <v>387</v>
      </c>
      <c r="B447" s="3"/>
      <c r="C447" s="3"/>
      <c r="D447" s="3"/>
    </row>
    <row r="448">
      <c r="A448" s="4"/>
      <c r="B448" s="3"/>
      <c r="C448" s="3"/>
      <c r="D448" s="3"/>
    </row>
    <row r="449" ht="17">
      <c r="A449" s="15" t="s">
        <v>388</v>
      </c>
      <c r="B449" s="3"/>
      <c r="C449" s="3"/>
      <c r="D449" s="3"/>
    </row>
    <row r="450" ht="17">
      <c r="A450" s="15" t="s">
        <v>389</v>
      </c>
      <c r="B450" s="3"/>
      <c r="C450" s="3"/>
      <c r="D450" s="3"/>
    </row>
    <row r="451" ht="17">
      <c r="A451" s="15" t="s">
        <v>390</v>
      </c>
      <c r="B451" s="3"/>
      <c r="C451" s="3"/>
      <c r="D451" s="2"/>
    </row>
    <row r="452">
      <c r="A452" s="4"/>
      <c r="B452" s="3"/>
      <c r="C452" s="3"/>
      <c r="D452" s="2"/>
    </row>
    <row r="453">
      <c r="A453" s="4"/>
      <c r="B453" s="3"/>
      <c r="C453" s="3"/>
      <c r="D453" s="2"/>
    </row>
  </sheetData>
  <mergeCells count="2">
    <mergeCell ref="B2:B3"/>
    <mergeCell ref="D2:D3"/>
  </mergeCells>
  <printOptions headings="0" gridLines="0"/>
  <pageMargins left="0.70099999999999985" right="0.70099999999999985" top="0.75200000000000011" bottom="0.75200000000000011" header="0.29999999999999999" footer="0.29999999999999999"/>
  <pageSetup paperSize="9" scale="93" fitToWidth="1" fitToHeight="0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455" activeCellId="0" sqref="A455"/>
    </sheetView>
  </sheetViews>
  <sheetFormatPr baseColWidth="10" defaultColWidth="10" defaultRowHeight="16.5"/>
  <cols>
    <col customWidth="1" min="1" max="1" width="62.832000000000001"/>
    <col customWidth="1" min="3" max="4" width="10"/>
    <col min="5" max="5" style="3" width="11.004"/>
  </cols>
  <sheetData>
    <row r="1" ht="16.5"/>
    <row r="2">
      <c r="A2" s="1"/>
      <c r="B2" s="2"/>
      <c r="C2" s="2"/>
      <c r="D2" s="2"/>
    </row>
    <row r="3">
      <c r="A3" s="3"/>
      <c r="B3" s="2"/>
      <c r="C3" s="2"/>
      <c r="D3" s="2"/>
    </row>
    <row r="4">
      <c r="A4" s="3"/>
      <c r="B4" s="2"/>
      <c r="C4" s="2"/>
      <c r="D4" s="2"/>
    </row>
    <row r="5">
      <c r="A5" s="3"/>
      <c r="B5" s="2"/>
      <c r="C5" s="2"/>
      <c r="D5" s="2"/>
    </row>
    <row r="6">
      <c r="A6" s="3"/>
      <c r="B6" s="2"/>
      <c r="C6" s="2"/>
      <c r="D6" s="2"/>
    </row>
    <row r="7">
      <c r="A7" s="3"/>
      <c r="B7" s="2"/>
      <c r="C7" s="2"/>
      <c r="D7" s="2"/>
    </row>
    <row r="8">
      <c r="A8" s="3"/>
      <c r="B8" s="2"/>
      <c r="C8" s="2"/>
      <c r="D8" s="2"/>
    </row>
    <row r="9">
      <c r="A9" s="3"/>
      <c r="B9" s="2"/>
      <c r="C9" s="2"/>
      <c r="D9" s="2"/>
    </row>
    <row r="10">
      <c r="A10" s="3"/>
      <c r="B10" s="2"/>
      <c r="C10" s="2"/>
      <c r="D10" s="2"/>
    </row>
    <row r="11">
      <c r="A11" s="4"/>
      <c r="B11" s="3"/>
      <c r="C11" s="3"/>
      <c r="D11" s="2"/>
    </row>
    <row r="12" ht="17">
      <c r="A12" s="4"/>
      <c r="B12" s="3"/>
      <c r="C12" s="3"/>
      <c r="D12" s="2"/>
    </row>
    <row r="13" ht="21">
      <c r="A13" s="5" t="s">
        <v>0</v>
      </c>
      <c r="B13" s="6" t="s">
        <v>1</v>
      </c>
      <c r="C13" s="6"/>
      <c r="D13" s="7" t="s">
        <v>391</v>
      </c>
      <c r="E13" s="7" t="s">
        <v>391</v>
      </c>
    </row>
    <row r="14" ht="23.25">
      <c r="A14" s="8" t="s">
        <v>3</v>
      </c>
      <c r="B14" s="3"/>
      <c r="C14" s="3"/>
      <c r="D14" s="3"/>
    </row>
    <row r="15" ht="18.75">
      <c r="A15" s="4" t="s">
        <v>4</v>
      </c>
      <c r="B15" s="9">
        <v>250</v>
      </c>
      <c r="C15" s="9"/>
      <c r="D15" s="17">
        <v>133.33333333333331</v>
      </c>
      <c r="E15" s="10">
        <f t="shared" ref="E15:E78" si="8">D15/90*100</f>
        <v>148.14814814814812</v>
      </c>
    </row>
    <row r="16" ht="33">
      <c r="A16" s="4" t="s">
        <v>5</v>
      </c>
      <c r="B16" s="9">
        <v>150</v>
      </c>
      <c r="C16" s="9"/>
      <c r="D16" s="17">
        <v>526.66666666666663</v>
      </c>
      <c r="E16" s="10">
        <f t="shared" si="8"/>
        <v>585.18518518518511</v>
      </c>
    </row>
    <row r="17" ht="18.75">
      <c r="A17" s="4" t="s">
        <v>6</v>
      </c>
      <c r="B17" s="9" t="s">
        <v>7</v>
      </c>
      <c r="C17" s="9"/>
      <c r="D17" s="17">
        <v>93.333333333333329</v>
      </c>
      <c r="E17" s="10">
        <f t="shared" si="8"/>
        <v>103.7037037037037</v>
      </c>
    </row>
    <row r="18" ht="18.75">
      <c r="A18" s="4" t="s">
        <v>8</v>
      </c>
      <c r="B18" s="9">
        <v>80</v>
      </c>
      <c r="C18" s="9"/>
      <c r="D18" s="16">
        <v>180</v>
      </c>
      <c r="E18" s="10">
        <f t="shared" si="8"/>
        <v>200</v>
      </c>
    </row>
    <row r="19" ht="18.75">
      <c r="A19" s="4" t="s">
        <v>9</v>
      </c>
      <c r="B19" s="9">
        <v>110</v>
      </c>
      <c r="C19" s="9"/>
      <c r="D19" s="16">
        <v>420</v>
      </c>
      <c r="E19" s="10">
        <f t="shared" si="8"/>
        <v>466.66666666666669</v>
      </c>
    </row>
    <row r="20" ht="18.75">
      <c r="A20" s="4" t="s">
        <v>10</v>
      </c>
      <c r="B20" s="9">
        <v>110</v>
      </c>
      <c r="C20" s="9"/>
      <c r="D20" s="17">
        <v>333.33333333333337</v>
      </c>
      <c r="E20" s="10">
        <f t="shared" si="8"/>
        <v>370.37037037037044</v>
      </c>
    </row>
    <row r="21" ht="18.75">
      <c r="A21" s="4" t="s">
        <v>11</v>
      </c>
      <c r="B21" s="9">
        <v>150</v>
      </c>
      <c r="C21" s="9"/>
      <c r="D21" s="17">
        <v>433.33333333333331</v>
      </c>
      <c r="E21" s="10">
        <f t="shared" si="8"/>
        <v>481.48148148148147</v>
      </c>
    </row>
    <row r="22" ht="18.75">
      <c r="A22" s="4" t="s">
        <v>12</v>
      </c>
      <c r="B22" s="9">
        <v>110</v>
      </c>
      <c r="C22" s="9"/>
      <c r="D22" s="16">
        <v>400</v>
      </c>
      <c r="E22" s="10">
        <f t="shared" si="8"/>
        <v>444.44444444444446</v>
      </c>
    </row>
    <row r="23" ht="18.75">
      <c r="A23" s="4" t="s">
        <v>13</v>
      </c>
      <c r="B23" s="9">
        <v>120</v>
      </c>
      <c r="C23" s="9"/>
      <c r="D23" s="17">
        <v>466.66666666666669</v>
      </c>
      <c r="E23" s="10">
        <f t="shared" si="8"/>
        <v>518.51851851851848</v>
      </c>
    </row>
    <row r="24" ht="18.75">
      <c r="A24" s="4" t="s">
        <v>14</v>
      </c>
      <c r="B24" s="9">
        <v>90</v>
      </c>
      <c r="C24" s="9"/>
      <c r="D24" s="17">
        <v>253.33333333333331</v>
      </c>
      <c r="E24" s="10">
        <f t="shared" si="8"/>
        <v>281.48148148148147</v>
      </c>
    </row>
    <row r="25" ht="18.75">
      <c r="A25" s="4" t="s">
        <v>15</v>
      </c>
      <c r="B25" s="9">
        <v>150</v>
      </c>
      <c r="C25" s="9"/>
      <c r="D25" s="17">
        <v>373.33333333333331</v>
      </c>
      <c r="E25" s="10">
        <f t="shared" si="8"/>
        <v>414.81481481481478</v>
      </c>
    </row>
    <row r="26" ht="18.75">
      <c r="A26" s="4" t="s">
        <v>16</v>
      </c>
      <c r="B26" s="9">
        <v>50</v>
      </c>
      <c r="C26" s="9"/>
      <c r="D26" s="17">
        <v>106.66666666666667</v>
      </c>
      <c r="E26" s="10">
        <f t="shared" si="8"/>
        <v>118.51851851851853</v>
      </c>
    </row>
    <row r="27" ht="18.75">
      <c r="A27" s="4" t="s">
        <v>17</v>
      </c>
      <c r="B27" s="9">
        <v>75</v>
      </c>
      <c r="C27" s="9"/>
      <c r="D27" s="17">
        <v>173.33333333333334</v>
      </c>
      <c r="E27" s="10">
        <f t="shared" si="8"/>
        <v>192.59259259259261</v>
      </c>
    </row>
    <row r="28" ht="18.75">
      <c r="A28" s="4" t="s">
        <v>18</v>
      </c>
      <c r="B28" s="9">
        <v>75</v>
      </c>
      <c r="C28" s="9"/>
      <c r="D28" s="17">
        <v>213.33333333333334</v>
      </c>
      <c r="E28" s="10">
        <f t="shared" si="8"/>
        <v>237.03703703703707</v>
      </c>
    </row>
    <row r="29" ht="23.25">
      <c r="A29" s="8" t="s">
        <v>19</v>
      </c>
      <c r="B29" s="3"/>
      <c r="C29" s="3"/>
      <c r="D29" s="3"/>
    </row>
    <row r="30" ht="18.75">
      <c r="A30" s="4" t="s">
        <v>20</v>
      </c>
      <c r="B30" s="9">
        <v>30</v>
      </c>
      <c r="C30" s="9"/>
      <c r="D30" s="17">
        <v>213.33333333333334</v>
      </c>
      <c r="E30" s="10">
        <f t="shared" si="8"/>
        <v>237.03703703703707</v>
      </c>
    </row>
    <row r="31" ht="18.75">
      <c r="A31" s="4" t="s">
        <v>21</v>
      </c>
      <c r="B31" s="9">
        <v>25</v>
      </c>
      <c r="C31" s="9"/>
      <c r="D31" s="16">
        <v>300</v>
      </c>
      <c r="E31" s="10">
        <f t="shared" si="8"/>
        <v>333.33333333333337</v>
      </c>
    </row>
    <row r="32" ht="18.75">
      <c r="A32" s="4" t="s">
        <v>22</v>
      </c>
      <c r="B32" s="9">
        <v>30</v>
      </c>
      <c r="C32" s="9"/>
      <c r="D32" s="17">
        <v>226.66666666666666</v>
      </c>
      <c r="E32" s="10">
        <f t="shared" si="8"/>
        <v>251.85185185185185</v>
      </c>
    </row>
    <row r="33" ht="18.75">
      <c r="A33" s="4" t="s">
        <v>23</v>
      </c>
      <c r="B33" s="9">
        <v>35</v>
      </c>
      <c r="C33" s="9"/>
      <c r="D33" s="17">
        <v>266.66666666666663</v>
      </c>
      <c r="E33" s="10">
        <f t="shared" si="8"/>
        <v>296.29629629629625</v>
      </c>
    </row>
    <row r="34" ht="18.75">
      <c r="A34" s="4" t="s">
        <v>24</v>
      </c>
      <c r="B34" s="9">
        <v>25</v>
      </c>
      <c r="C34" s="9"/>
      <c r="D34" s="17">
        <v>266.66666666666663</v>
      </c>
      <c r="E34" s="10">
        <f t="shared" si="8"/>
        <v>296.29629629629625</v>
      </c>
    </row>
    <row r="35" ht="18.75">
      <c r="A35" s="4" t="s">
        <v>25</v>
      </c>
      <c r="B35" s="9">
        <v>25</v>
      </c>
      <c r="C35" s="9"/>
      <c r="D35" s="17">
        <v>333.33333333333337</v>
      </c>
      <c r="E35" s="10">
        <f t="shared" si="8"/>
        <v>370.37037037037044</v>
      </c>
    </row>
    <row r="36" ht="18.75">
      <c r="A36" s="4" t="s">
        <v>26</v>
      </c>
      <c r="B36" s="9">
        <v>35</v>
      </c>
      <c r="C36" s="9"/>
      <c r="D36" s="17">
        <v>373.33333333333331</v>
      </c>
      <c r="E36" s="10">
        <f t="shared" si="8"/>
        <v>414.81481481481478</v>
      </c>
    </row>
    <row r="37" ht="18.75">
      <c r="A37" s="4" t="s">
        <v>27</v>
      </c>
      <c r="B37" s="9">
        <v>25</v>
      </c>
      <c r="C37" s="9"/>
      <c r="D37" s="16">
        <v>340</v>
      </c>
      <c r="E37" s="10">
        <f t="shared" si="8"/>
        <v>377.77777777777777</v>
      </c>
    </row>
    <row r="38" ht="18.75">
      <c r="A38" s="4" t="s">
        <v>28</v>
      </c>
      <c r="B38" s="9">
        <v>30</v>
      </c>
      <c r="C38" s="9"/>
      <c r="D38" s="17">
        <v>553.33333333333337</v>
      </c>
      <c r="E38" s="10">
        <f t="shared" si="8"/>
        <v>614.81481481481489</v>
      </c>
    </row>
    <row r="39" ht="18.75">
      <c r="A39" s="4" t="s">
        <v>29</v>
      </c>
      <c r="B39" s="9">
        <v>25</v>
      </c>
      <c r="C39" s="9"/>
      <c r="D39" s="16">
        <v>160</v>
      </c>
      <c r="E39" s="10">
        <f t="shared" si="8"/>
        <v>177.77777777777777</v>
      </c>
    </row>
    <row r="40" ht="18.75">
      <c r="A40" s="4" t="s">
        <v>30</v>
      </c>
      <c r="B40" s="9">
        <v>30</v>
      </c>
      <c r="C40" s="9"/>
      <c r="D40" s="17">
        <v>333.33333333333337</v>
      </c>
      <c r="E40" s="10">
        <f t="shared" si="8"/>
        <v>370.37037037037044</v>
      </c>
    </row>
    <row r="41" ht="18.75">
      <c r="A41" s="4" t="s">
        <v>31</v>
      </c>
      <c r="B41" s="9">
        <v>30</v>
      </c>
      <c r="C41" s="9"/>
      <c r="D41" s="17">
        <v>386.66666666666669</v>
      </c>
      <c r="E41" s="10">
        <f t="shared" si="8"/>
        <v>429.62962962962968</v>
      </c>
    </row>
    <row r="42" ht="18.75">
      <c r="A42" s="4" t="s">
        <v>32</v>
      </c>
      <c r="B42" s="9">
        <v>20</v>
      </c>
      <c r="C42" s="9"/>
      <c r="D42" s="17">
        <v>213.33333333333334</v>
      </c>
      <c r="E42" s="10">
        <f t="shared" si="8"/>
        <v>237.03703703703707</v>
      </c>
    </row>
    <row r="43" ht="18.75">
      <c r="A43" s="4" t="s">
        <v>33</v>
      </c>
      <c r="B43" s="9">
        <v>20</v>
      </c>
      <c r="C43" s="9"/>
      <c r="D43" s="16">
        <v>360</v>
      </c>
      <c r="E43" s="10">
        <f t="shared" si="8"/>
        <v>400</v>
      </c>
    </row>
    <row r="44" ht="18.75">
      <c r="A44" s="4" t="s">
        <v>34</v>
      </c>
      <c r="B44" s="9">
        <v>20</v>
      </c>
      <c r="C44" s="9"/>
      <c r="D44" s="17">
        <v>335.55555555555554</v>
      </c>
      <c r="E44" s="10">
        <f t="shared" si="8"/>
        <v>372.83950617283949</v>
      </c>
    </row>
    <row r="45" ht="18.75">
      <c r="A45" s="4" t="s">
        <v>35</v>
      </c>
      <c r="B45" s="9">
        <v>30</v>
      </c>
      <c r="C45" s="9"/>
      <c r="D45" s="17">
        <v>306.66666666666669</v>
      </c>
      <c r="E45" s="10">
        <f t="shared" si="8"/>
        <v>340.74074074074076</v>
      </c>
    </row>
    <row r="46" ht="18.75">
      <c r="A46" s="4" t="s">
        <v>36</v>
      </c>
      <c r="B46" s="9">
        <v>25</v>
      </c>
      <c r="C46" s="9"/>
      <c r="D46" s="17">
        <v>413.33333333333337</v>
      </c>
      <c r="E46" s="10">
        <f t="shared" si="8"/>
        <v>459.25925925925935</v>
      </c>
    </row>
    <row r="47" ht="18.75">
      <c r="A47" s="4" t="s">
        <v>37</v>
      </c>
      <c r="B47" s="9">
        <v>30</v>
      </c>
      <c r="C47" s="9"/>
      <c r="D47" s="17">
        <v>466.66666666666669</v>
      </c>
      <c r="E47" s="10">
        <f t="shared" si="8"/>
        <v>518.51851851851848</v>
      </c>
    </row>
    <row r="48" ht="18.75">
      <c r="A48" s="4" t="s">
        <v>38</v>
      </c>
      <c r="B48" s="9">
        <v>20</v>
      </c>
      <c r="C48" s="9"/>
      <c r="D48" s="16">
        <v>400</v>
      </c>
      <c r="E48" s="10">
        <f t="shared" si="8"/>
        <v>444.44444444444446</v>
      </c>
    </row>
    <row r="49" ht="18.75">
      <c r="A49" s="4" t="s">
        <v>39</v>
      </c>
      <c r="B49" s="9">
        <v>30</v>
      </c>
      <c r="C49" s="9"/>
      <c r="D49" s="17">
        <v>473.33333333333331</v>
      </c>
      <c r="E49" s="10">
        <f t="shared" si="8"/>
        <v>525.92592592592587</v>
      </c>
    </row>
    <row r="50" ht="18.75">
      <c r="A50" s="4" t="s">
        <v>40</v>
      </c>
      <c r="B50" s="9">
        <v>40</v>
      </c>
      <c r="C50" s="9"/>
      <c r="D50" s="16">
        <v>360</v>
      </c>
      <c r="E50" s="10">
        <f t="shared" si="8"/>
        <v>400</v>
      </c>
    </row>
    <row r="51" ht="18.75">
      <c r="A51" s="4" t="s">
        <v>41</v>
      </c>
      <c r="B51" s="9">
        <v>30</v>
      </c>
      <c r="C51" s="9"/>
      <c r="D51" s="17">
        <v>226.66666666666666</v>
      </c>
      <c r="E51" s="10">
        <f t="shared" si="8"/>
        <v>251.85185185185185</v>
      </c>
    </row>
    <row r="52" ht="18.75">
      <c r="A52" s="4" t="s">
        <v>42</v>
      </c>
      <c r="B52" s="9">
        <v>25</v>
      </c>
      <c r="C52" s="9"/>
      <c r="D52" s="17">
        <v>173.33333333333334</v>
      </c>
      <c r="E52" s="10">
        <f t="shared" si="8"/>
        <v>192.59259259259261</v>
      </c>
    </row>
    <row r="53" ht="18.75">
      <c r="A53" s="4" t="s">
        <v>43</v>
      </c>
      <c r="B53" s="9">
        <v>25</v>
      </c>
      <c r="C53" s="9"/>
      <c r="D53" s="17">
        <v>173.33333333333334</v>
      </c>
      <c r="E53" s="10">
        <f t="shared" si="8"/>
        <v>192.59259259259261</v>
      </c>
    </row>
    <row r="54" ht="18.75">
      <c r="A54" s="4" t="s">
        <v>44</v>
      </c>
      <c r="B54" s="9">
        <v>25</v>
      </c>
      <c r="C54" s="9"/>
      <c r="D54" s="16">
        <v>340</v>
      </c>
      <c r="E54" s="10">
        <f t="shared" si="8"/>
        <v>377.77777777777777</v>
      </c>
    </row>
    <row r="55" ht="18.75">
      <c r="A55" s="4" t="s">
        <v>45</v>
      </c>
      <c r="B55" s="9">
        <v>25</v>
      </c>
      <c r="C55" s="9"/>
      <c r="D55" s="16">
        <v>280</v>
      </c>
      <c r="E55" s="10">
        <f t="shared" si="8"/>
        <v>311.11111111111114</v>
      </c>
    </row>
    <row r="56" ht="18.75">
      <c r="A56" s="4" t="s">
        <v>46</v>
      </c>
      <c r="B56" s="9">
        <v>25</v>
      </c>
      <c r="C56" s="9"/>
      <c r="D56" s="16">
        <v>160</v>
      </c>
      <c r="E56" s="10">
        <f t="shared" si="8"/>
        <v>177.77777777777777</v>
      </c>
    </row>
    <row r="57" ht="18.75">
      <c r="A57" s="4" t="s">
        <v>47</v>
      </c>
      <c r="B57" s="9">
        <v>100</v>
      </c>
      <c r="C57" s="9"/>
      <c r="D57" s="16">
        <v>320</v>
      </c>
      <c r="E57" s="10">
        <f t="shared" si="8"/>
        <v>355.55555555555554</v>
      </c>
    </row>
    <row r="58" ht="18.75">
      <c r="A58" s="4" t="s">
        <v>48</v>
      </c>
      <c r="B58" s="9">
        <v>25</v>
      </c>
      <c r="C58" s="9"/>
      <c r="D58" s="16">
        <v>300</v>
      </c>
      <c r="E58" s="10">
        <f t="shared" si="8"/>
        <v>333.33333333333337</v>
      </c>
    </row>
    <row r="59" ht="18.75">
      <c r="A59" s="4" t="s">
        <v>49</v>
      </c>
      <c r="B59" s="9">
        <v>25</v>
      </c>
      <c r="C59" s="9"/>
      <c r="D59" s="17">
        <v>153.33333333333334</v>
      </c>
      <c r="E59" s="10">
        <f t="shared" si="8"/>
        <v>170.37037037037038</v>
      </c>
    </row>
    <row r="60" ht="18.75">
      <c r="A60" s="4" t="s">
        <v>50</v>
      </c>
      <c r="B60" s="9">
        <v>40</v>
      </c>
      <c r="C60" s="9"/>
      <c r="D60" s="17">
        <v>226.66666666666666</v>
      </c>
      <c r="E60" s="10">
        <f t="shared" si="8"/>
        <v>251.85185185185185</v>
      </c>
    </row>
    <row r="61" ht="18.75">
      <c r="A61" s="4" t="s">
        <v>51</v>
      </c>
      <c r="B61" s="9">
        <v>35</v>
      </c>
      <c r="C61" s="9"/>
      <c r="D61" s="16">
        <v>320</v>
      </c>
      <c r="E61" s="10">
        <f t="shared" si="8"/>
        <v>355.55555555555554</v>
      </c>
    </row>
    <row r="62" ht="18.75">
      <c r="A62" s="4" t="s">
        <v>52</v>
      </c>
      <c r="B62" s="9">
        <v>30</v>
      </c>
      <c r="C62" s="9"/>
      <c r="D62" s="17">
        <v>293.33333333333331</v>
      </c>
      <c r="E62" s="10">
        <f t="shared" si="8"/>
        <v>325.92592592592592</v>
      </c>
    </row>
    <row r="63" ht="18.75">
      <c r="A63" s="4" t="s">
        <v>53</v>
      </c>
      <c r="B63" s="9">
        <v>30</v>
      </c>
      <c r="C63" s="9"/>
      <c r="D63" s="17">
        <v>226.66666666666666</v>
      </c>
      <c r="E63" s="10">
        <f t="shared" si="8"/>
        <v>251.85185185185185</v>
      </c>
    </row>
    <row r="64" ht="18.75">
      <c r="A64" s="4" t="s">
        <v>54</v>
      </c>
      <c r="B64" s="9">
        <v>25</v>
      </c>
      <c r="C64" s="9"/>
      <c r="D64" s="17">
        <v>373.33333333333331</v>
      </c>
      <c r="E64" s="10">
        <f t="shared" si="8"/>
        <v>414.81481481481478</v>
      </c>
    </row>
    <row r="65" ht="21">
      <c r="A65" s="4" t="s">
        <v>55</v>
      </c>
      <c r="B65" s="9">
        <v>20</v>
      </c>
      <c r="C65" s="9"/>
      <c r="D65" s="16">
        <v>160</v>
      </c>
      <c r="E65" s="10">
        <f t="shared" si="8"/>
        <v>177.77777777777777</v>
      </c>
    </row>
    <row r="66" ht="34">
      <c r="A66" s="4" t="s">
        <v>56</v>
      </c>
      <c r="B66" s="9">
        <v>30</v>
      </c>
      <c r="C66" s="9"/>
      <c r="D66" s="17">
        <v>246.66666666666669</v>
      </c>
      <c r="E66" s="10">
        <f t="shared" si="8"/>
        <v>274.07407407407408</v>
      </c>
    </row>
    <row r="67" ht="34">
      <c r="A67" s="4" t="s">
        <v>57</v>
      </c>
      <c r="B67" s="9">
        <v>30</v>
      </c>
      <c r="C67" s="9"/>
      <c r="D67" s="17">
        <v>306.66666666666669</v>
      </c>
      <c r="E67" s="10">
        <f t="shared" si="8"/>
        <v>340.74074074074076</v>
      </c>
    </row>
    <row r="68" ht="21">
      <c r="A68" s="4" t="s">
        <v>58</v>
      </c>
      <c r="B68" s="9">
        <v>25</v>
      </c>
      <c r="C68" s="9"/>
      <c r="D68" s="16">
        <v>320</v>
      </c>
      <c r="E68" s="10">
        <f t="shared" si="8"/>
        <v>355.55555555555554</v>
      </c>
    </row>
    <row r="69" ht="21">
      <c r="A69" s="4" t="s">
        <v>59</v>
      </c>
      <c r="B69" s="9">
        <v>25</v>
      </c>
      <c r="C69" s="9"/>
      <c r="D69" s="16">
        <v>280</v>
      </c>
      <c r="E69" s="10">
        <f t="shared" si="8"/>
        <v>311.11111111111114</v>
      </c>
    </row>
    <row r="70" ht="21">
      <c r="A70" s="4" t="s">
        <v>60</v>
      </c>
      <c r="B70" s="9">
        <v>25</v>
      </c>
      <c r="C70" s="9"/>
      <c r="D70" s="16">
        <v>280</v>
      </c>
      <c r="E70" s="10">
        <f t="shared" si="8"/>
        <v>311.11111111111114</v>
      </c>
    </row>
    <row r="71" ht="21">
      <c r="A71" s="4" t="s">
        <v>61</v>
      </c>
      <c r="B71" s="9">
        <v>30</v>
      </c>
      <c r="C71" s="9"/>
      <c r="D71" s="17">
        <v>306.66666666666669</v>
      </c>
      <c r="E71" s="10">
        <f t="shared" si="8"/>
        <v>340.74074074074076</v>
      </c>
    </row>
    <row r="72" ht="21">
      <c r="A72" s="4" t="s">
        <v>62</v>
      </c>
      <c r="B72" s="9">
        <v>30</v>
      </c>
      <c r="C72" s="9"/>
      <c r="D72" s="17">
        <v>306.66666666666669</v>
      </c>
      <c r="E72" s="10">
        <f t="shared" si="8"/>
        <v>340.74074074074076</v>
      </c>
    </row>
    <row r="73" ht="21">
      <c r="A73" s="4" t="s">
        <v>63</v>
      </c>
      <c r="B73" s="9">
        <v>25</v>
      </c>
      <c r="C73" s="9"/>
      <c r="D73" s="16">
        <v>260</v>
      </c>
      <c r="E73" s="10">
        <f t="shared" si="8"/>
        <v>288.88888888888886</v>
      </c>
    </row>
    <row r="74">
      <c r="A74" s="4"/>
      <c r="B74" s="3"/>
      <c r="C74" s="3"/>
      <c r="D74" s="3"/>
    </row>
    <row r="75" ht="25">
      <c r="A75" s="8" t="s">
        <v>64</v>
      </c>
      <c r="B75" s="3"/>
      <c r="C75" s="3"/>
      <c r="D75" s="3"/>
    </row>
    <row r="76" ht="21">
      <c r="A76" s="4" t="s">
        <v>65</v>
      </c>
      <c r="B76" s="9">
        <v>37</v>
      </c>
      <c r="C76" s="9"/>
      <c r="D76" s="17">
        <v>226.66666666666666</v>
      </c>
      <c r="E76" s="10">
        <f t="shared" si="8"/>
        <v>251.85185185185185</v>
      </c>
    </row>
    <row r="77" ht="21">
      <c r="A77" s="4" t="s">
        <v>66</v>
      </c>
      <c r="B77" s="9">
        <v>30</v>
      </c>
      <c r="C77" s="9"/>
      <c r="D77" s="16">
        <v>320</v>
      </c>
      <c r="E77" s="10">
        <f t="shared" si="8"/>
        <v>355.55555555555554</v>
      </c>
    </row>
    <row r="78" ht="21">
      <c r="A78" s="4" t="s">
        <v>67</v>
      </c>
      <c r="B78" s="9">
        <v>30</v>
      </c>
      <c r="C78" s="9"/>
      <c r="D78" s="16">
        <v>240</v>
      </c>
      <c r="E78" s="10">
        <f t="shared" si="8"/>
        <v>266.66666666666663</v>
      </c>
    </row>
    <row r="79" ht="21">
      <c r="A79" s="4" t="s">
        <v>68</v>
      </c>
      <c r="B79" s="9">
        <v>30</v>
      </c>
      <c r="C79" s="9"/>
      <c r="D79" s="16">
        <v>380</v>
      </c>
      <c r="E79" s="10">
        <f t="shared" ref="E79:E97" si="9">D79/90*100</f>
        <v>422.22222222222223</v>
      </c>
    </row>
    <row r="80" ht="21">
      <c r="A80" s="4" t="s">
        <v>69</v>
      </c>
      <c r="B80" s="9">
        <v>37</v>
      </c>
      <c r="C80" s="9"/>
      <c r="D80" s="17">
        <v>333.33333333333337</v>
      </c>
      <c r="E80" s="10">
        <f t="shared" si="9"/>
        <v>370.37037037037044</v>
      </c>
    </row>
    <row r="81" ht="21">
      <c r="A81" s="4" t="s">
        <v>70</v>
      </c>
      <c r="B81" s="9">
        <v>37</v>
      </c>
      <c r="C81" s="9"/>
      <c r="D81" s="16">
        <v>260</v>
      </c>
      <c r="E81" s="10">
        <f t="shared" si="9"/>
        <v>288.88888888888886</v>
      </c>
    </row>
    <row r="82" ht="21">
      <c r="A82" s="4" t="s">
        <v>71</v>
      </c>
      <c r="B82" s="9">
        <v>37</v>
      </c>
      <c r="C82" s="9"/>
      <c r="D82" s="16">
        <v>280</v>
      </c>
      <c r="E82" s="10">
        <f t="shared" si="9"/>
        <v>311.11111111111114</v>
      </c>
    </row>
    <row r="83">
      <c r="A83" s="4"/>
      <c r="B83" s="3"/>
      <c r="C83" s="3"/>
      <c r="D83" s="3"/>
    </row>
    <row r="84" ht="25">
      <c r="A84" s="8" t="s">
        <v>72</v>
      </c>
      <c r="B84" s="3"/>
      <c r="C84" s="3"/>
      <c r="D84" s="3"/>
    </row>
    <row r="85" ht="21">
      <c r="A85" s="4" t="s">
        <v>73</v>
      </c>
      <c r="B85" s="9">
        <v>50</v>
      </c>
      <c r="C85" s="9"/>
      <c r="D85" s="17">
        <v>333.33333333333337</v>
      </c>
      <c r="E85" s="10">
        <f t="shared" si="9"/>
        <v>370.37037037037044</v>
      </c>
    </row>
    <row r="86" ht="21">
      <c r="A86" s="4" t="s">
        <v>74</v>
      </c>
      <c r="B86" s="9">
        <v>50</v>
      </c>
      <c r="C86" s="9"/>
      <c r="D86" s="17">
        <v>393.33333333333331</v>
      </c>
      <c r="E86" s="10">
        <f t="shared" si="9"/>
        <v>437.03703703703701</v>
      </c>
    </row>
    <row r="87" ht="21">
      <c r="A87" s="4" t="s">
        <v>75</v>
      </c>
      <c r="B87" s="9">
        <v>50</v>
      </c>
      <c r="C87" s="9"/>
      <c r="D87" s="17">
        <v>413.33333333333337</v>
      </c>
      <c r="E87" s="10">
        <f t="shared" si="9"/>
        <v>459.25925925925935</v>
      </c>
    </row>
    <row r="88" ht="21">
      <c r="A88" s="4" t="s">
        <v>76</v>
      </c>
      <c r="B88" s="9">
        <v>50</v>
      </c>
      <c r="C88" s="9"/>
      <c r="D88" s="17">
        <v>306.66666666666669</v>
      </c>
      <c r="E88" s="10">
        <f t="shared" si="9"/>
        <v>340.74074074074076</v>
      </c>
    </row>
    <row r="89" ht="21">
      <c r="A89" s="4" t="s">
        <v>77</v>
      </c>
      <c r="B89" s="9">
        <v>50</v>
      </c>
      <c r="C89" s="9"/>
      <c r="D89" s="16">
        <v>360</v>
      </c>
      <c r="E89" s="10">
        <f t="shared" si="9"/>
        <v>400</v>
      </c>
    </row>
    <row r="90" ht="21">
      <c r="A90" s="4" t="s">
        <v>78</v>
      </c>
      <c r="B90" s="9">
        <v>50</v>
      </c>
      <c r="C90" s="9"/>
      <c r="D90" s="17">
        <v>293.33333333333331</v>
      </c>
      <c r="E90" s="10">
        <f t="shared" si="9"/>
        <v>325.92592592592592</v>
      </c>
    </row>
    <row r="91">
      <c r="A91" s="4"/>
      <c r="B91" s="3"/>
      <c r="C91" s="3"/>
      <c r="D91" s="3"/>
    </row>
    <row r="92" ht="50">
      <c r="A92" s="8" t="s">
        <v>79</v>
      </c>
      <c r="B92" s="3"/>
      <c r="C92" s="3"/>
      <c r="D92" s="3"/>
    </row>
    <row r="93" ht="21">
      <c r="A93" s="4" t="s">
        <v>80</v>
      </c>
      <c r="B93" s="9">
        <v>35</v>
      </c>
      <c r="C93" s="9"/>
      <c r="D93" s="17">
        <v>206.66666666666669</v>
      </c>
      <c r="E93" s="10">
        <f t="shared" si="9"/>
        <v>229.62962962962968</v>
      </c>
    </row>
    <row r="94" ht="21">
      <c r="A94" s="4" t="s">
        <v>81</v>
      </c>
      <c r="B94" s="9">
        <v>35</v>
      </c>
      <c r="C94" s="9"/>
      <c r="D94" s="16">
        <v>260</v>
      </c>
      <c r="E94" s="10">
        <f t="shared" si="9"/>
        <v>288.88888888888886</v>
      </c>
    </row>
    <row r="95" ht="21">
      <c r="A95" s="4" t="s">
        <v>82</v>
      </c>
      <c r="B95" s="9">
        <v>35</v>
      </c>
      <c r="C95" s="9"/>
      <c r="D95" s="17">
        <v>206.66666666666669</v>
      </c>
      <c r="E95" s="10">
        <f t="shared" si="9"/>
        <v>229.62962962962968</v>
      </c>
    </row>
    <row r="96" ht="21">
      <c r="A96" s="4" t="s">
        <v>83</v>
      </c>
      <c r="B96" s="9">
        <v>35</v>
      </c>
      <c r="C96" s="9"/>
      <c r="D96" s="17">
        <v>186.66666666666666</v>
      </c>
      <c r="E96" s="10">
        <f t="shared" si="9"/>
        <v>207.40740740740739</v>
      </c>
    </row>
    <row r="97" ht="21">
      <c r="A97" s="4" t="s">
        <v>84</v>
      </c>
      <c r="B97" s="9">
        <v>35</v>
      </c>
      <c r="C97" s="9"/>
      <c r="D97" s="17">
        <v>186.66666666666666</v>
      </c>
      <c r="E97" s="10">
        <f t="shared" si="9"/>
        <v>207.40740740740739</v>
      </c>
    </row>
    <row r="98">
      <c r="A98" s="4"/>
      <c r="B98" s="3"/>
      <c r="C98" s="3"/>
      <c r="D98" s="3"/>
      <c r="E98" s="9"/>
    </row>
    <row r="99" ht="25">
      <c r="A99" s="8" t="s">
        <v>85</v>
      </c>
      <c r="B99" s="3"/>
      <c r="C99" s="3"/>
      <c r="D99" s="3"/>
    </row>
    <row r="100" ht="21">
      <c r="A100" s="4" t="s">
        <v>86</v>
      </c>
      <c r="B100" s="9">
        <v>25</v>
      </c>
      <c r="C100" s="9"/>
      <c r="D100" s="17">
        <v>206.66666666666669</v>
      </c>
      <c r="E100" s="10">
        <f t="shared" ref="E100:E163" si="10">D100/90*100</f>
        <v>229.62962962962968</v>
      </c>
    </row>
    <row r="101" ht="21">
      <c r="A101" s="4" t="s">
        <v>87</v>
      </c>
      <c r="B101" s="9">
        <v>25</v>
      </c>
      <c r="C101" s="9"/>
      <c r="D101" s="17">
        <v>206.66666666666669</v>
      </c>
      <c r="E101" s="10">
        <f t="shared" si="10"/>
        <v>229.62962962962968</v>
      </c>
    </row>
    <row r="102" ht="21">
      <c r="A102" s="4" t="s">
        <v>88</v>
      </c>
      <c r="B102" s="9">
        <v>25</v>
      </c>
      <c r="C102" s="9"/>
      <c r="D102" s="17">
        <v>186.66666666666666</v>
      </c>
      <c r="E102" s="10">
        <f t="shared" si="10"/>
        <v>207.40740740740739</v>
      </c>
    </row>
    <row r="103" ht="21">
      <c r="A103" s="4" t="s">
        <v>89</v>
      </c>
      <c r="B103" s="9">
        <v>25</v>
      </c>
      <c r="C103" s="9"/>
      <c r="D103" s="17">
        <v>186.66666666666666</v>
      </c>
      <c r="E103" s="10">
        <f t="shared" si="10"/>
        <v>207.40740740740739</v>
      </c>
    </row>
    <row r="104">
      <c r="A104" s="4"/>
      <c r="B104" s="3"/>
      <c r="C104" s="3"/>
      <c r="D104" s="3"/>
    </row>
    <row r="105" ht="25">
      <c r="A105" s="8" t="s">
        <v>90</v>
      </c>
      <c r="B105" s="3"/>
      <c r="C105" s="3"/>
      <c r="D105" s="3"/>
    </row>
    <row r="106" ht="21">
      <c r="A106" s="4" t="s">
        <v>91</v>
      </c>
      <c r="B106" s="9">
        <v>30</v>
      </c>
      <c r="C106" s="9"/>
      <c r="D106" s="17">
        <v>293.33333333333331</v>
      </c>
      <c r="E106" s="10">
        <f t="shared" si="10"/>
        <v>325.92592592592592</v>
      </c>
    </row>
    <row r="107" ht="21">
      <c r="A107" s="4" t="s">
        <v>92</v>
      </c>
      <c r="B107" s="9">
        <v>30</v>
      </c>
      <c r="C107" s="9"/>
      <c r="D107" s="17">
        <v>293.33333333333331</v>
      </c>
      <c r="E107" s="10">
        <f t="shared" si="10"/>
        <v>325.92592592592592</v>
      </c>
    </row>
    <row r="108" ht="21">
      <c r="A108" s="4" t="s">
        <v>93</v>
      </c>
      <c r="B108" s="9">
        <v>35</v>
      </c>
      <c r="C108" s="9"/>
      <c r="D108" s="17">
        <v>466.66666666666669</v>
      </c>
      <c r="E108" s="10">
        <f t="shared" si="10"/>
        <v>518.51851851851848</v>
      </c>
    </row>
    <row r="109" ht="21">
      <c r="A109" s="4" t="s">
        <v>94</v>
      </c>
      <c r="B109" s="9">
        <v>35</v>
      </c>
      <c r="C109" s="9"/>
      <c r="D109" s="16">
        <v>360</v>
      </c>
      <c r="E109" s="10">
        <f t="shared" si="10"/>
        <v>400</v>
      </c>
    </row>
    <row r="110" ht="21">
      <c r="A110" s="4" t="s">
        <v>95</v>
      </c>
      <c r="B110" s="9">
        <v>35</v>
      </c>
      <c r="C110" s="9"/>
      <c r="D110" s="16">
        <v>480</v>
      </c>
      <c r="E110" s="10">
        <f t="shared" si="10"/>
        <v>533.33333333333326</v>
      </c>
    </row>
    <row r="111" ht="21">
      <c r="A111" s="4" t="s">
        <v>96</v>
      </c>
      <c r="B111" s="9">
        <v>35</v>
      </c>
      <c r="C111" s="9"/>
      <c r="D111" s="17">
        <v>466.66666666666669</v>
      </c>
      <c r="E111" s="10">
        <f t="shared" si="10"/>
        <v>518.51851851851848</v>
      </c>
    </row>
    <row r="112" ht="21">
      <c r="A112" s="4" t="s">
        <v>97</v>
      </c>
      <c r="B112" s="9">
        <v>30</v>
      </c>
      <c r="C112" s="9"/>
      <c r="D112" s="16">
        <v>459.99999999999994</v>
      </c>
      <c r="E112" s="10">
        <f t="shared" si="10"/>
        <v>511.11111111111109</v>
      </c>
    </row>
    <row r="113" ht="21">
      <c r="A113" s="4" t="s">
        <v>98</v>
      </c>
      <c r="B113" s="9">
        <v>35</v>
      </c>
      <c r="C113" s="9"/>
      <c r="D113" s="17">
        <v>426.66666666666669</v>
      </c>
      <c r="E113" s="10">
        <f t="shared" si="10"/>
        <v>474.07407407407413</v>
      </c>
    </row>
    <row r="114" ht="21">
      <c r="A114" s="4" t="s">
        <v>99</v>
      </c>
      <c r="B114" s="9">
        <v>30</v>
      </c>
      <c r="C114" s="9"/>
      <c r="D114" s="16">
        <v>280</v>
      </c>
      <c r="E114" s="10">
        <f t="shared" si="10"/>
        <v>311.11111111111114</v>
      </c>
    </row>
    <row r="115" ht="21">
      <c r="A115" s="4" t="s">
        <v>100</v>
      </c>
      <c r="B115" s="9">
        <v>35</v>
      </c>
      <c r="C115" s="9"/>
      <c r="D115" s="16">
        <v>280</v>
      </c>
      <c r="E115" s="10">
        <f t="shared" si="10"/>
        <v>311.11111111111114</v>
      </c>
    </row>
    <row r="116" ht="21">
      <c r="A116" s="4" t="s">
        <v>101</v>
      </c>
      <c r="B116" s="9">
        <v>35</v>
      </c>
      <c r="C116" s="9"/>
      <c r="D116" s="16">
        <v>280</v>
      </c>
      <c r="E116" s="10">
        <f t="shared" si="10"/>
        <v>311.11111111111114</v>
      </c>
    </row>
    <row r="117" ht="21">
      <c r="A117" s="4" t="s">
        <v>102</v>
      </c>
      <c r="B117" s="9">
        <v>35</v>
      </c>
      <c r="C117" s="9"/>
      <c r="D117" s="16">
        <v>300</v>
      </c>
      <c r="E117" s="10">
        <f t="shared" si="10"/>
        <v>333.33333333333337</v>
      </c>
    </row>
    <row r="118" ht="21">
      <c r="A118" s="4" t="s">
        <v>103</v>
      </c>
      <c r="B118" s="9">
        <v>35</v>
      </c>
      <c r="C118" s="9"/>
      <c r="D118" s="16">
        <v>300</v>
      </c>
      <c r="E118" s="10">
        <f t="shared" si="10"/>
        <v>333.33333333333337</v>
      </c>
    </row>
    <row r="119" ht="21">
      <c r="A119" s="4" t="s">
        <v>104</v>
      </c>
      <c r="B119" s="9">
        <v>35</v>
      </c>
      <c r="C119" s="9"/>
      <c r="D119" s="16">
        <v>200</v>
      </c>
      <c r="E119" s="10">
        <f t="shared" si="10"/>
        <v>222.22222222222223</v>
      </c>
    </row>
    <row r="120" ht="21">
      <c r="A120" s="4" t="s">
        <v>105</v>
      </c>
      <c r="B120" s="9">
        <v>30</v>
      </c>
      <c r="C120" s="9"/>
      <c r="D120" s="17">
        <v>253.33333333333331</v>
      </c>
      <c r="E120" s="10">
        <f t="shared" si="10"/>
        <v>281.48148148148147</v>
      </c>
    </row>
    <row r="121">
      <c r="A121" s="4"/>
      <c r="B121" s="3"/>
      <c r="C121" s="3"/>
      <c r="D121" s="3"/>
    </row>
    <row r="122" ht="25">
      <c r="A122" s="8" t="s">
        <v>106</v>
      </c>
      <c r="B122" s="3"/>
      <c r="C122" s="3"/>
      <c r="D122" s="3"/>
    </row>
    <row r="123" ht="21">
      <c r="A123" s="4" t="s">
        <v>107</v>
      </c>
      <c r="B123" s="9">
        <v>50</v>
      </c>
      <c r="C123" s="9"/>
      <c r="D123" s="17">
        <v>346.66666666666669</v>
      </c>
      <c r="E123" s="10">
        <f t="shared" si="10"/>
        <v>385.18518518518522</v>
      </c>
    </row>
    <row r="124" ht="21">
      <c r="A124" s="4" t="s">
        <v>108</v>
      </c>
      <c r="B124" s="9">
        <v>50</v>
      </c>
      <c r="C124" s="9"/>
      <c r="D124" s="17">
        <v>393.33333333333331</v>
      </c>
      <c r="E124" s="10">
        <f t="shared" si="10"/>
        <v>437.03703703703701</v>
      </c>
    </row>
    <row r="125" ht="21">
      <c r="A125" s="4" t="s">
        <v>96</v>
      </c>
      <c r="B125" s="9">
        <v>50</v>
      </c>
      <c r="C125" s="9"/>
      <c r="D125" s="17">
        <v>393.33333333333331</v>
      </c>
      <c r="E125" s="10">
        <f t="shared" si="10"/>
        <v>437.03703703703701</v>
      </c>
    </row>
    <row r="126" ht="21">
      <c r="A126" s="4" t="s">
        <v>109</v>
      </c>
      <c r="B126" s="9">
        <v>50</v>
      </c>
      <c r="C126" s="9"/>
      <c r="D126" s="17">
        <v>373.33333333333331</v>
      </c>
      <c r="E126" s="10">
        <f t="shared" si="10"/>
        <v>414.81481481481478</v>
      </c>
    </row>
    <row r="127" ht="21">
      <c r="A127" s="4" t="s">
        <v>110</v>
      </c>
      <c r="B127" s="9">
        <v>50</v>
      </c>
      <c r="C127" s="9"/>
      <c r="D127" s="16">
        <v>340</v>
      </c>
      <c r="E127" s="10">
        <f t="shared" si="10"/>
        <v>377.77777777777777</v>
      </c>
    </row>
    <row r="128" ht="21">
      <c r="A128" s="4" t="s">
        <v>111</v>
      </c>
      <c r="B128" s="9">
        <v>50</v>
      </c>
      <c r="C128" s="9"/>
      <c r="D128" s="17">
        <v>306.66666666666669</v>
      </c>
      <c r="E128" s="10">
        <f t="shared" si="10"/>
        <v>340.74074074074076</v>
      </c>
    </row>
    <row r="129" ht="21">
      <c r="A129" s="4" t="s">
        <v>112</v>
      </c>
      <c r="B129" s="9">
        <v>50</v>
      </c>
      <c r="C129" s="9"/>
      <c r="D129" s="17">
        <v>253.33333333333331</v>
      </c>
      <c r="E129" s="10">
        <f t="shared" si="10"/>
        <v>281.48148148148147</v>
      </c>
    </row>
    <row r="130" ht="21">
      <c r="A130" s="4" t="s">
        <v>113</v>
      </c>
      <c r="B130" s="9">
        <v>50</v>
      </c>
      <c r="C130" s="9"/>
      <c r="D130" s="17">
        <v>226.66666666666666</v>
      </c>
      <c r="E130" s="10">
        <f t="shared" si="10"/>
        <v>251.85185185185185</v>
      </c>
    </row>
    <row r="131" ht="21">
      <c r="A131" s="4" t="s">
        <v>114</v>
      </c>
      <c r="B131" s="9">
        <v>50</v>
      </c>
      <c r="C131" s="9"/>
      <c r="D131" s="16">
        <v>260</v>
      </c>
      <c r="E131" s="10">
        <f t="shared" si="10"/>
        <v>288.88888888888886</v>
      </c>
    </row>
    <row r="132" ht="21">
      <c r="A132" s="4" t="s">
        <v>115</v>
      </c>
      <c r="B132" s="9">
        <v>50</v>
      </c>
      <c r="C132" s="9"/>
      <c r="D132" s="17">
        <v>326.66666666666669</v>
      </c>
      <c r="E132" s="10">
        <f t="shared" si="10"/>
        <v>362.96296296296299</v>
      </c>
    </row>
    <row r="133" ht="21">
      <c r="A133" s="4" t="s">
        <v>116</v>
      </c>
      <c r="B133" s="9">
        <v>50</v>
      </c>
      <c r="C133" s="9"/>
      <c r="D133" s="17">
        <v>313.33333333333331</v>
      </c>
      <c r="E133" s="10">
        <f t="shared" si="10"/>
        <v>348.14814814814815</v>
      </c>
    </row>
    <row r="134">
      <c r="A134" s="4"/>
      <c r="B134" s="3"/>
      <c r="C134" s="3"/>
      <c r="D134" s="3"/>
    </row>
    <row r="135" ht="25">
      <c r="A135" s="8" t="s">
        <v>117</v>
      </c>
      <c r="B135" s="3"/>
      <c r="C135" s="3"/>
      <c r="D135" s="3"/>
    </row>
    <row r="136" ht="21">
      <c r="A136" s="4" t="s">
        <v>118</v>
      </c>
      <c r="B136" s="9">
        <v>50</v>
      </c>
      <c r="C136" s="9"/>
      <c r="D136" s="16">
        <v>280</v>
      </c>
      <c r="E136" s="10">
        <f t="shared" si="10"/>
        <v>311.11111111111114</v>
      </c>
    </row>
    <row r="137" ht="21">
      <c r="A137" s="4" t="s">
        <v>119</v>
      </c>
      <c r="B137" s="9">
        <v>50</v>
      </c>
      <c r="C137" s="9"/>
      <c r="D137" s="16">
        <v>280</v>
      </c>
      <c r="E137" s="10">
        <f t="shared" si="10"/>
        <v>311.11111111111114</v>
      </c>
    </row>
    <row r="138" ht="21">
      <c r="A138" s="4" t="s">
        <v>120</v>
      </c>
      <c r="B138" s="9">
        <v>50</v>
      </c>
      <c r="C138" s="9"/>
      <c r="D138" s="16">
        <v>300</v>
      </c>
      <c r="E138" s="10">
        <f t="shared" si="10"/>
        <v>333.33333333333337</v>
      </c>
    </row>
    <row r="139" ht="21">
      <c r="A139" s="4" t="s">
        <v>121</v>
      </c>
      <c r="B139" s="9">
        <v>50</v>
      </c>
      <c r="C139" s="9"/>
      <c r="D139" s="17">
        <v>246.66666666666669</v>
      </c>
      <c r="E139" s="10">
        <f t="shared" si="10"/>
        <v>274.07407407407408</v>
      </c>
    </row>
    <row r="140">
      <c r="A140" s="4"/>
      <c r="B140" s="3"/>
      <c r="C140" s="3"/>
      <c r="D140" s="3"/>
    </row>
    <row r="141" ht="25">
      <c r="A141" s="8" t="s">
        <v>122</v>
      </c>
      <c r="B141" s="3"/>
      <c r="C141" s="3"/>
      <c r="D141" s="3"/>
    </row>
    <row r="142" ht="21">
      <c r="A142" s="4" t="s">
        <v>123</v>
      </c>
      <c r="B142" s="9">
        <v>50</v>
      </c>
      <c r="C142" s="9"/>
      <c r="D142" s="16">
        <v>150</v>
      </c>
      <c r="E142" s="10">
        <f t="shared" si="10"/>
        <v>166.66666666666669</v>
      </c>
    </row>
    <row r="143" ht="21">
      <c r="A143" s="4" t="s">
        <v>124</v>
      </c>
      <c r="B143" s="9">
        <v>50</v>
      </c>
      <c r="C143" s="9"/>
      <c r="D143" s="16">
        <v>150</v>
      </c>
      <c r="E143" s="10">
        <f t="shared" si="10"/>
        <v>166.66666666666669</v>
      </c>
    </row>
    <row r="144" ht="21">
      <c r="A144" s="4" t="s">
        <v>125</v>
      </c>
      <c r="B144" s="9">
        <v>50</v>
      </c>
      <c r="C144" s="9"/>
      <c r="D144" s="16">
        <v>210</v>
      </c>
      <c r="E144" s="10">
        <f t="shared" si="10"/>
        <v>233.33333333333334</v>
      </c>
    </row>
    <row r="145" ht="21">
      <c r="A145" s="4" t="s">
        <v>126</v>
      </c>
      <c r="B145" s="9">
        <v>50</v>
      </c>
      <c r="C145" s="9"/>
      <c r="D145" s="16">
        <v>150</v>
      </c>
      <c r="E145" s="10">
        <f t="shared" si="10"/>
        <v>166.66666666666669</v>
      </c>
    </row>
    <row r="146">
      <c r="A146" s="4"/>
      <c r="B146" s="3"/>
      <c r="C146" s="3"/>
      <c r="D146" s="3"/>
    </row>
    <row r="147" ht="25">
      <c r="A147" s="8" t="s">
        <v>127</v>
      </c>
      <c r="B147" s="3"/>
      <c r="C147" s="3"/>
      <c r="D147" s="3"/>
    </row>
    <row r="148" ht="21">
      <c r="A148" s="4" t="s">
        <v>128</v>
      </c>
      <c r="B148" s="9">
        <v>40</v>
      </c>
      <c r="C148" s="9"/>
      <c r="D148" s="17">
        <v>246.66666666666669</v>
      </c>
      <c r="E148" s="10">
        <f t="shared" si="10"/>
        <v>274.07407407407408</v>
      </c>
    </row>
    <row r="149" ht="21">
      <c r="A149" s="4" t="s">
        <v>129</v>
      </c>
      <c r="B149" s="9">
        <v>40</v>
      </c>
      <c r="C149" s="9"/>
      <c r="D149" s="17">
        <v>206.66666666666669</v>
      </c>
      <c r="E149" s="10">
        <f t="shared" si="10"/>
        <v>229.62962962962968</v>
      </c>
    </row>
    <row r="150" ht="34">
      <c r="A150" s="4" t="s">
        <v>130</v>
      </c>
      <c r="B150" s="9">
        <v>40</v>
      </c>
      <c r="C150" s="9"/>
      <c r="D150" s="17">
        <v>226.66666666666666</v>
      </c>
      <c r="E150" s="10">
        <f t="shared" si="10"/>
        <v>251.85185185185185</v>
      </c>
    </row>
    <row r="151" ht="21">
      <c r="A151" s="4" t="s">
        <v>131</v>
      </c>
      <c r="B151" s="9">
        <v>40</v>
      </c>
      <c r="C151" s="9"/>
      <c r="D151" s="17">
        <v>226.66666666666666</v>
      </c>
      <c r="E151" s="10">
        <f t="shared" si="10"/>
        <v>251.85185185185185</v>
      </c>
    </row>
    <row r="152">
      <c r="A152" s="4"/>
      <c r="B152" s="3"/>
      <c r="C152" s="3"/>
      <c r="D152" s="3"/>
    </row>
    <row r="153" ht="25">
      <c r="A153" s="8" t="s">
        <v>132</v>
      </c>
      <c r="B153" s="3"/>
      <c r="C153" s="3"/>
      <c r="D153" s="3"/>
    </row>
    <row r="154" ht="21">
      <c r="A154" s="4" t="s">
        <v>133</v>
      </c>
      <c r="B154" s="11">
        <v>250</v>
      </c>
      <c r="C154" s="11"/>
      <c r="D154" s="16">
        <v>1260</v>
      </c>
      <c r="E154" s="10">
        <f t="shared" si="10"/>
        <v>1400</v>
      </c>
    </row>
    <row r="155" ht="34">
      <c r="A155" s="4" t="s">
        <v>134</v>
      </c>
      <c r="B155" s="11">
        <v>250</v>
      </c>
      <c r="C155" s="11"/>
      <c r="D155" s="17">
        <v>2206.6666666666665</v>
      </c>
      <c r="E155" s="10">
        <f t="shared" si="10"/>
        <v>2451.8518518518517</v>
      </c>
    </row>
    <row r="156" ht="34">
      <c r="A156" s="4" t="s">
        <v>135</v>
      </c>
      <c r="B156" s="11">
        <v>400</v>
      </c>
      <c r="C156" s="11"/>
      <c r="D156" s="17">
        <v>2146.6666666666665</v>
      </c>
      <c r="E156" s="10">
        <f t="shared" si="10"/>
        <v>2385.1851851851852</v>
      </c>
    </row>
    <row r="157" ht="21">
      <c r="A157" s="4" t="s">
        <v>136</v>
      </c>
      <c r="B157" s="11">
        <v>400</v>
      </c>
      <c r="C157" s="11"/>
      <c r="D157" s="17">
        <v>1926.6666666666665</v>
      </c>
      <c r="E157" s="10">
        <f t="shared" si="10"/>
        <v>2140.7407407407404</v>
      </c>
    </row>
    <row r="158" ht="34">
      <c r="A158" s="4" t="s">
        <v>137</v>
      </c>
      <c r="B158" s="11">
        <v>450</v>
      </c>
      <c r="C158" s="11"/>
      <c r="D158" s="17">
        <v>1466.6666666666665</v>
      </c>
      <c r="E158" s="10">
        <f t="shared" si="10"/>
        <v>1629.6296296296293</v>
      </c>
    </row>
    <row r="159" ht="34">
      <c r="A159" s="4" t="s">
        <v>138</v>
      </c>
      <c r="B159" s="11">
        <v>450</v>
      </c>
      <c r="C159" s="11"/>
      <c r="D159" s="17">
        <v>2066.666666666667</v>
      </c>
      <c r="E159" s="10">
        <f t="shared" si="10"/>
        <v>2296.2962962962965</v>
      </c>
    </row>
    <row r="160" ht="51">
      <c r="A160" s="4" t="s">
        <v>139</v>
      </c>
      <c r="B160" s="11">
        <v>100</v>
      </c>
      <c r="C160" s="11"/>
      <c r="D160" s="17">
        <v>793.33333333333337</v>
      </c>
      <c r="E160" s="10">
        <f t="shared" si="10"/>
        <v>881.48148148148152</v>
      </c>
    </row>
    <row r="161" ht="34">
      <c r="A161" s="4" t="s">
        <v>140</v>
      </c>
      <c r="B161" s="11">
        <v>250</v>
      </c>
      <c r="C161" s="11"/>
      <c r="D161" s="16">
        <v>840</v>
      </c>
      <c r="E161" s="10">
        <f t="shared" si="10"/>
        <v>933.33333333333337</v>
      </c>
    </row>
    <row r="162" ht="34">
      <c r="A162" s="4" t="s">
        <v>141</v>
      </c>
      <c r="B162" s="9">
        <v>80</v>
      </c>
      <c r="C162" s="9"/>
      <c r="D162" s="16">
        <v>560</v>
      </c>
      <c r="E162" s="10">
        <f t="shared" si="10"/>
        <v>622.22222222222229</v>
      </c>
    </row>
    <row r="163">
      <c r="A163" s="4"/>
      <c r="B163" s="3"/>
      <c r="C163" s="3"/>
      <c r="D163" s="3"/>
    </row>
    <row r="164" ht="25">
      <c r="A164" s="8" t="s">
        <v>142</v>
      </c>
      <c r="B164" s="3"/>
      <c r="C164" s="3"/>
      <c r="D164" s="3"/>
    </row>
    <row r="165" ht="21">
      <c r="A165" s="4" t="s">
        <v>143</v>
      </c>
      <c r="B165" s="9">
        <v>60</v>
      </c>
      <c r="C165" s="9"/>
      <c r="D165" s="17">
        <v>335.55555555555554</v>
      </c>
      <c r="E165" s="10">
        <f t="shared" ref="E164:E227" si="11">D165/90*100</f>
        <v>372.83950617283949</v>
      </c>
    </row>
    <row r="166" ht="21">
      <c r="A166" s="4" t="s">
        <v>144</v>
      </c>
      <c r="B166" s="9">
        <v>60</v>
      </c>
      <c r="C166" s="9"/>
      <c r="D166" s="17">
        <v>335.55555555555554</v>
      </c>
      <c r="E166" s="10">
        <f t="shared" si="11"/>
        <v>372.83950617283949</v>
      </c>
    </row>
    <row r="167" ht="21">
      <c r="A167" s="4" t="s">
        <v>145</v>
      </c>
      <c r="B167" s="9">
        <v>60</v>
      </c>
      <c r="C167" s="9"/>
      <c r="D167" s="17">
        <v>444.44444444444446</v>
      </c>
      <c r="E167" s="10">
        <f t="shared" si="11"/>
        <v>493.82716049382714</v>
      </c>
    </row>
    <row r="168" ht="34">
      <c r="A168" s="4" t="s">
        <v>146</v>
      </c>
      <c r="B168" s="9">
        <v>60</v>
      </c>
      <c r="C168" s="9"/>
      <c r="D168" s="17">
        <v>444.44444444444446</v>
      </c>
      <c r="E168" s="10">
        <f t="shared" si="11"/>
        <v>493.82716049382714</v>
      </c>
    </row>
    <row r="169" ht="21">
      <c r="A169" s="4" t="s">
        <v>147</v>
      </c>
      <c r="B169" s="9">
        <v>60</v>
      </c>
      <c r="C169" s="9"/>
      <c r="D169" s="17">
        <v>375.55555555555554</v>
      </c>
      <c r="E169" s="10">
        <f t="shared" si="11"/>
        <v>417.28395061728395</v>
      </c>
    </row>
    <row r="170" ht="21">
      <c r="A170" s="4" t="s">
        <v>148</v>
      </c>
      <c r="B170" s="9">
        <v>60</v>
      </c>
      <c r="C170" s="9"/>
      <c r="D170" s="17">
        <v>375.55555555555554</v>
      </c>
      <c r="E170" s="10">
        <f t="shared" si="11"/>
        <v>417.28395061728395</v>
      </c>
    </row>
    <row r="171" ht="34">
      <c r="A171" s="4" t="s">
        <v>149</v>
      </c>
      <c r="B171" s="9">
        <v>60</v>
      </c>
      <c r="C171" s="9"/>
      <c r="D171" s="17">
        <v>428.88888888888886</v>
      </c>
      <c r="E171" s="10">
        <f t="shared" si="11"/>
        <v>476.54320987654319</v>
      </c>
    </row>
    <row r="172">
      <c r="A172" s="4"/>
      <c r="B172" s="3"/>
      <c r="C172" s="3"/>
      <c r="D172" s="3"/>
    </row>
    <row r="173" ht="25">
      <c r="A173" s="8" t="s">
        <v>150</v>
      </c>
      <c r="B173" s="3"/>
      <c r="C173" s="3"/>
      <c r="D173" s="3"/>
    </row>
    <row r="174" ht="21">
      <c r="A174" s="4" t="s">
        <v>143</v>
      </c>
      <c r="B174" s="9">
        <v>150</v>
      </c>
      <c r="C174" s="9"/>
      <c r="D174" s="16">
        <v>840</v>
      </c>
      <c r="E174" s="10">
        <f t="shared" si="11"/>
        <v>933.33333333333337</v>
      </c>
    </row>
    <row r="175" ht="21">
      <c r="A175" s="4" t="s">
        <v>144</v>
      </c>
      <c r="B175" s="9">
        <v>150</v>
      </c>
      <c r="C175" s="9"/>
      <c r="D175" s="16">
        <v>840</v>
      </c>
      <c r="E175" s="10">
        <f t="shared" si="11"/>
        <v>933.33333333333337</v>
      </c>
    </row>
    <row r="176" ht="34">
      <c r="A176" s="4" t="s">
        <v>151</v>
      </c>
      <c r="B176" s="9">
        <v>150</v>
      </c>
      <c r="C176" s="9"/>
      <c r="D176" s="17">
        <v>853.33333333333337</v>
      </c>
      <c r="E176" s="10">
        <f t="shared" si="11"/>
        <v>948.14814814814827</v>
      </c>
    </row>
    <row r="177" ht="21">
      <c r="A177" s="4" t="s">
        <v>152</v>
      </c>
      <c r="B177" s="9">
        <v>150</v>
      </c>
      <c r="C177" s="9"/>
      <c r="D177" s="17">
        <v>926.66666666666674</v>
      </c>
      <c r="E177" s="10">
        <f t="shared" si="11"/>
        <v>1029.6296296296298</v>
      </c>
    </row>
    <row r="178" ht="34">
      <c r="A178" s="4" t="s">
        <v>153</v>
      </c>
      <c r="B178" s="9">
        <v>150</v>
      </c>
      <c r="C178" s="9"/>
      <c r="D178" s="17">
        <v>813.33333333333326</v>
      </c>
      <c r="E178" s="10">
        <f t="shared" si="11"/>
        <v>903.70370370370358</v>
      </c>
    </row>
    <row r="179" ht="34">
      <c r="A179" s="4" t="s">
        <v>154</v>
      </c>
      <c r="B179" s="9">
        <v>150</v>
      </c>
      <c r="C179" s="9"/>
      <c r="D179" s="16">
        <v>780</v>
      </c>
      <c r="E179" s="10">
        <f t="shared" si="11"/>
        <v>866.66666666666663</v>
      </c>
    </row>
    <row r="180" ht="34">
      <c r="A180" s="4" t="s">
        <v>155</v>
      </c>
      <c r="B180" s="9">
        <v>150</v>
      </c>
      <c r="C180" s="9"/>
      <c r="D180" s="17">
        <v>886.66666666666674</v>
      </c>
      <c r="E180" s="10">
        <f t="shared" si="11"/>
        <v>985.18518518518533</v>
      </c>
    </row>
    <row r="181" ht="34">
      <c r="A181" s="4" t="s">
        <v>156</v>
      </c>
      <c r="B181" s="9">
        <v>150</v>
      </c>
      <c r="C181" s="9"/>
      <c r="D181" s="16">
        <v>700</v>
      </c>
      <c r="E181" s="10">
        <f t="shared" si="11"/>
        <v>777.77777777777771</v>
      </c>
    </row>
    <row r="182" ht="34">
      <c r="A182" s="4" t="s">
        <v>157</v>
      </c>
      <c r="B182" s="9">
        <v>150</v>
      </c>
      <c r="C182" s="9"/>
      <c r="D182" s="17">
        <v>773.33333333333337</v>
      </c>
      <c r="E182" s="10">
        <f t="shared" si="11"/>
        <v>859.25925925925935</v>
      </c>
    </row>
    <row r="183" ht="34">
      <c r="A183" s="4" t="s">
        <v>158</v>
      </c>
      <c r="B183" s="9">
        <v>150</v>
      </c>
      <c r="C183" s="9"/>
      <c r="D183" s="16">
        <v>620</v>
      </c>
      <c r="E183" s="10">
        <f t="shared" si="11"/>
        <v>688.88888888888891</v>
      </c>
    </row>
    <row r="184" ht="21">
      <c r="A184" s="4" t="s">
        <v>159</v>
      </c>
      <c r="B184" s="9">
        <v>150</v>
      </c>
      <c r="C184" s="9"/>
      <c r="D184" s="17">
        <v>766.66666666666674</v>
      </c>
      <c r="E184" s="10">
        <f t="shared" si="11"/>
        <v>851.85185185185196</v>
      </c>
    </row>
    <row r="185" ht="34">
      <c r="A185" s="4" t="s">
        <v>160</v>
      </c>
      <c r="B185" s="9">
        <v>150</v>
      </c>
      <c r="C185" s="9"/>
      <c r="D185" s="17">
        <v>784.44444444444446</v>
      </c>
      <c r="E185" s="10">
        <f t="shared" si="11"/>
        <v>871.60493827160485</v>
      </c>
    </row>
    <row r="186" ht="21">
      <c r="A186" s="4" t="s">
        <v>161</v>
      </c>
      <c r="B186" s="9">
        <v>150</v>
      </c>
      <c r="C186" s="9"/>
      <c r="D186" s="16">
        <v>720</v>
      </c>
      <c r="E186" s="10">
        <f t="shared" si="11"/>
        <v>800</v>
      </c>
    </row>
    <row r="187" ht="34">
      <c r="A187" s="4" t="s">
        <v>162</v>
      </c>
      <c r="B187" s="9">
        <v>150</v>
      </c>
      <c r="C187" s="9"/>
      <c r="D187" s="17">
        <v>653.33333333333337</v>
      </c>
      <c r="E187" s="10">
        <f t="shared" si="11"/>
        <v>725.92592592592598</v>
      </c>
    </row>
    <row r="188" ht="34">
      <c r="A188" s="4" t="s">
        <v>163</v>
      </c>
      <c r="B188" s="9">
        <v>150</v>
      </c>
      <c r="C188" s="9"/>
      <c r="D188" s="17">
        <v>866.66666666666663</v>
      </c>
      <c r="E188" s="10">
        <f t="shared" si="11"/>
        <v>962.96296296296293</v>
      </c>
    </row>
    <row r="189" ht="34">
      <c r="A189" s="4" t="s">
        <v>164</v>
      </c>
      <c r="B189" s="9">
        <v>150</v>
      </c>
      <c r="C189" s="9"/>
      <c r="D189" s="17">
        <v>713.33333333333337</v>
      </c>
      <c r="E189" s="10">
        <f t="shared" si="11"/>
        <v>792.59259259259261</v>
      </c>
    </row>
    <row r="190" ht="34">
      <c r="A190" s="4" t="s">
        <v>165</v>
      </c>
      <c r="B190" s="9">
        <v>150</v>
      </c>
      <c r="C190" s="9"/>
      <c r="D190" s="17">
        <v>693.33333333333337</v>
      </c>
      <c r="E190" s="10">
        <f t="shared" si="11"/>
        <v>770.37037037037044</v>
      </c>
    </row>
    <row r="191" ht="34">
      <c r="A191" s="4" t="s">
        <v>166</v>
      </c>
      <c r="B191" s="9">
        <v>150</v>
      </c>
      <c r="C191" s="9"/>
      <c r="D191" s="17">
        <v>653.33333333333337</v>
      </c>
      <c r="E191" s="10">
        <f t="shared" si="11"/>
        <v>725.92592592592598</v>
      </c>
    </row>
    <row r="192" ht="34">
      <c r="A192" s="4" t="s">
        <v>167</v>
      </c>
      <c r="B192" s="9">
        <v>150</v>
      </c>
      <c r="C192" s="9"/>
      <c r="D192" s="17">
        <v>784.44444444444446</v>
      </c>
      <c r="E192" s="10">
        <f t="shared" si="11"/>
        <v>871.60493827160485</v>
      </c>
    </row>
    <row r="193" ht="21">
      <c r="A193" s="4" t="s">
        <v>168</v>
      </c>
      <c r="B193" s="9">
        <v>150</v>
      </c>
      <c r="C193" s="9"/>
      <c r="D193" s="17">
        <v>784.44444444444446</v>
      </c>
      <c r="E193" s="10">
        <f t="shared" si="11"/>
        <v>871.60493827160485</v>
      </c>
    </row>
    <row r="194">
      <c r="A194" s="4"/>
      <c r="B194" s="3"/>
      <c r="C194" s="3"/>
      <c r="D194" s="3"/>
    </row>
    <row r="195" ht="25">
      <c r="A195" s="8" t="s">
        <v>169</v>
      </c>
      <c r="B195" s="3"/>
      <c r="C195" s="3"/>
      <c r="D195" s="3"/>
    </row>
    <row r="196" ht="21">
      <c r="A196" s="4" t="s">
        <v>170</v>
      </c>
      <c r="B196" s="9">
        <v>25</v>
      </c>
      <c r="C196" s="9"/>
      <c r="D196" s="17">
        <v>206.66666666666669</v>
      </c>
      <c r="E196" s="10">
        <f t="shared" si="11"/>
        <v>229.62962962962968</v>
      </c>
    </row>
    <row r="197" ht="21">
      <c r="A197" s="4" t="s">
        <v>171</v>
      </c>
      <c r="B197" s="9">
        <v>30</v>
      </c>
      <c r="C197" s="9"/>
      <c r="D197" s="17">
        <v>213.33333333333334</v>
      </c>
      <c r="E197" s="10">
        <f t="shared" si="11"/>
        <v>237.03703703703707</v>
      </c>
    </row>
    <row r="198" ht="21">
      <c r="A198" s="4" t="s">
        <v>172</v>
      </c>
      <c r="B198" s="9">
        <v>150</v>
      </c>
      <c r="C198" s="9"/>
      <c r="D198" s="17">
        <v>335.55555555555554</v>
      </c>
      <c r="E198" s="10">
        <f t="shared" si="11"/>
        <v>372.83950617283949</v>
      </c>
    </row>
    <row r="199">
      <c r="A199" s="4"/>
      <c r="B199" s="3"/>
      <c r="C199" s="3"/>
      <c r="D199" s="3"/>
    </row>
    <row r="200" ht="25">
      <c r="A200" s="8" t="s">
        <v>173</v>
      </c>
      <c r="B200" s="3"/>
      <c r="C200" s="3"/>
      <c r="D200" s="3"/>
    </row>
    <row r="201" ht="21">
      <c r="A201" s="4" t="s">
        <v>174</v>
      </c>
      <c r="B201" s="9">
        <v>50</v>
      </c>
      <c r="C201" s="9"/>
      <c r="D201" s="16">
        <v>200</v>
      </c>
      <c r="E201" s="10">
        <f t="shared" si="11"/>
        <v>222.22222222222223</v>
      </c>
    </row>
    <row r="202" ht="21">
      <c r="A202" s="4" t="s">
        <v>175</v>
      </c>
      <c r="B202" s="9">
        <v>50</v>
      </c>
      <c r="C202" s="9"/>
      <c r="D202" s="16">
        <v>200</v>
      </c>
      <c r="E202" s="10">
        <f t="shared" si="11"/>
        <v>222.22222222222223</v>
      </c>
    </row>
    <row r="203" ht="21">
      <c r="A203" s="4" t="s">
        <v>176</v>
      </c>
      <c r="B203" s="9">
        <v>50</v>
      </c>
      <c r="C203" s="9"/>
      <c r="D203" s="16">
        <v>200</v>
      </c>
      <c r="E203" s="10">
        <f t="shared" si="11"/>
        <v>222.22222222222223</v>
      </c>
    </row>
    <row r="204" ht="21">
      <c r="A204" s="4" t="s">
        <v>177</v>
      </c>
      <c r="B204" s="9">
        <v>50</v>
      </c>
      <c r="C204" s="9"/>
      <c r="D204" s="16">
        <v>200</v>
      </c>
      <c r="E204" s="10">
        <f t="shared" si="11"/>
        <v>222.22222222222223</v>
      </c>
    </row>
    <row r="205">
      <c r="A205" s="4"/>
      <c r="B205" s="3"/>
      <c r="C205" s="3"/>
      <c r="D205" s="3"/>
    </row>
    <row r="206" ht="25">
      <c r="A206" s="8" t="s">
        <v>178</v>
      </c>
      <c r="B206" s="3"/>
      <c r="C206" s="3"/>
      <c r="D206" s="3"/>
    </row>
    <row r="207" ht="21">
      <c r="A207" s="4" t="s">
        <v>179</v>
      </c>
      <c r="B207" s="9">
        <v>250</v>
      </c>
      <c r="C207" s="9"/>
      <c r="D207" s="17">
        <v>546.66666666666663</v>
      </c>
      <c r="E207" s="10">
        <f t="shared" si="11"/>
        <v>607.40740740740739</v>
      </c>
    </row>
    <row r="208" ht="21">
      <c r="A208" s="4" t="s">
        <v>180</v>
      </c>
      <c r="B208" s="9">
        <v>250</v>
      </c>
      <c r="C208" s="9"/>
      <c r="D208" s="16">
        <v>520</v>
      </c>
      <c r="E208" s="10">
        <f t="shared" si="11"/>
        <v>577.77777777777771</v>
      </c>
    </row>
    <row r="209" ht="21">
      <c r="A209" s="4" t="s">
        <v>181</v>
      </c>
      <c r="B209" s="9">
        <v>250</v>
      </c>
      <c r="C209" s="9"/>
      <c r="D209" s="17">
        <v>413.33333333333337</v>
      </c>
      <c r="E209" s="10">
        <f t="shared" si="11"/>
        <v>459.25925925925935</v>
      </c>
    </row>
    <row r="210" ht="21">
      <c r="A210" s="4" t="s">
        <v>182</v>
      </c>
      <c r="B210" s="9">
        <v>250</v>
      </c>
      <c r="C210" s="9"/>
      <c r="D210" s="16">
        <v>440.00000000000006</v>
      </c>
      <c r="E210" s="10">
        <f t="shared" si="11"/>
        <v>488.88888888888891</v>
      </c>
    </row>
    <row r="211" ht="21">
      <c r="A211" s="4" t="s">
        <v>183</v>
      </c>
      <c r="B211" s="9">
        <v>250</v>
      </c>
      <c r="C211" s="9"/>
      <c r="D211" s="16">
        <v>560</v>
      </c>
      <c r="E211" s="10">
        <f t="shared" si="11"/>
        <v>622.22222222222229</v>
      </c>
    </row>
    <row r="212" ht="21">
      <c r="A212" s="4" t="s">
        <v>184</v>
      </c>
      <c r="B212" s="9">
        <v>250</v>
      </c>
      <c r="C212" s="9"/>
      <c r="D212" s="17">
        <v>393.33333333333331</v>
      </c>
      <c r="E212" s="10">
        <f t="shared" si="11"/>
        <v>437.03703703703701</v>
      </c>
    </row>
    <row r="213" ht="21">
      <c r="A213" s="4" t="s">
        <v>185</v>
      </c>
      <c r="B213" s="9">
        <v>250</v>
      </c>
      <c r="C213" s="9"/>
      <c r="D213" s="17">
        <v>466.66666666666669</v>
      </c>
      <c r="E213" s="10">
        <f t="shared" si="11"/>
        <v>518.51851851851848</v>
      </c>
    </row>
    <row r="214" ht="21">
      <c r="A214" s="4" t="s">
        <v>186</v>
      </c>
      <c r="B214" s="9">
        <v>250</v>
      </c>
      <c r="C214" s="9"/>
      <c r="D214" s="17">
        <v>866.66666666666663</v>
      </c>
      <c r="E214" s="10">
        <f t="shared" si="11"/>
        <v>962.96296296296293</v>
      </c>
    </row>
    <row r="215" ht="21">
      <c r="A215" s="4" t="s">
        <v>187</v>
      </c>
      <c r="B215" s="9">
        <v>250</v>
      </c>
      <c r="C215" s="9"/>
      <c r="D215" s="16">
        <v>640</v>
      </c>
      <c r="E215" s="10">
        <f t="shared" si="11"/>
        <v>711.11111111111109</v>
      </c>
    </row>
    <row r="216">
      <c r="A216" s="4"/>
      <c r="B216" s="3"/>
      <c r="C216" s="3"/>
      <c r="D216" s="3"/>
    </row>
    <row r="217" ht="25">
      <c r="A217" s="8" t="s">
        <v>188</v>
      </c>
      <c r="B217" s="3"/>
      <c r="C217" s="3"/>
      <c r="D217" s="3"/>
    </row>
    <row r="218" ht="21">
      <c r="A218" s="12" t="s">
        <v>189</v>
      </c>
      <c r="B218" s="9">
        <v>180</v>
      </c>
      <c r="C218" s="9"/>
      <c r="D218" s="16">
        <v>840</v>
      </c>
      <c r="E218" s="10">
        <f t="shared" si="11"/>
        <v>933.33333333333337</v>
      </c>
    </row>
    <row r="219" ht="21">
      <c r="A219" s="12" t="s">
        <v>190</v>
      </c>
      <c r="B219" s="9">
        <v>180</v>
      </c>
      <c r="C219" s="9"/>
      <c r="D219" s="16">
        <v>840</v>
      </c>
      <c r="E219" s="10">
        <f t="shared" si="11"/>
        <v>933.33333333333337</v>
      </c>
    </row>
    <row r="220" ht="21">
      <c r="A220" s="12" t="s">
        <v>191</v>
      </c>
      <c r="B220" s="11">
        <v>100</v>
      </c>
      <c r="C220" s="11"/>
      <c r="D220" s="17">
        <v>726.66666666666663</v>
      </c>
      <c r="E220" s="10">
        <f t="shared" si="11"/>
        <v>807.40740740740739</v>
      </c>
    </row>
    <row r="221">
      <c r="A221" s="4"/>
      <c r="B221" s="4"/>
      <c r="C221" s="4"/>
      <c r="D221" s="3"/>
      <c r="E221" s="10"/>
    </row>
    <row r="222" ht="25">
      <c r="A222" s="8" t="s">
        <v>192</v>
      </c>
      <c r="B222" s="3"/>
      <c r="C222" s="3"/>
      <c r="D222" s="3"/>
    </row>
    <row r="223" ht="21">
      <c r="A223" s="4" t="s">
        <v>193</v>
      </c>
      <c r="B223" s="9">
        <v>60</v>
      </c>
      <c r="C223" s="9"/>
      <c r="D223" s="16">
        <v>540</v>
      </c>
      <c r="E223" s="10">
        <f t="shared" si="11"/>
        <v>600</v>
      </c>
    </row>
    <row r="224" ht="21">
      <c r="A224" s="4" t="s">
        <v>194</v>
      </c>
      <c r="B224" s="9">
        <v>60</v>
      </c>
      <c r="C224" s="9"/>
      <c r="D224" s="16">
        <v>540</v>
      </c>
      <c r="E224" s="10">
        <f t="shared" si="11"/>
        <v>600</v>
      </c>
    </row>
    <row r="225" ht="21">
      <c r="A225" s="4" t="s">
        <v>195</v>
      </c>
      <c r="B225" s="9">
        <v>60</v>
      </c>
      <c r="C225" s="9"/>
      <c r="D225" s="16">
        <v>459.99999999999994</v>
      </c>
      <c r="E225" s="10">
        <f t="shared" si="11"/>
        <v>511.11111111111109</v>
      </c>
    </row>
    <row r="226" ht="21">
      <c r="A226" s="4" t="s">
        <v>196</v>
      </c>
      <c r="B226" s="9">
        <v>60</v>
      </c>
      <c r="C226" s="9"/>
      <c r="D226" s="17">
        <v>626.66666666666663</v>
      </c>
      <c r="E226" s="10">
        <f t="shared" si="11"/>
        <v>696.2962962962963</v>
      </c>
    </row>
    <row r="227" ht="21">
      <c r="A227" s="4" t="s">
        <v>197</v>
      </c>
      <c r="B227" s="9">
        <v>35</v>
      </c>
      <c r="C227" s="9"/>
      <c r="D227" s="17">
        <v>335.55555555555554</v>
      </c>
      <c r="E227" s="10">
        <f t="shared" si="11"/>
        <v>372.83950617283949</v>
      </c>
    </row>
    <row r="228" ht="21">
      <c r="A228" s="4" t="s">
        <v>198</v>
      </c>
      <c r="B228" s="9">
        <v>45</v>
      </c>
      <c r="C228" s="9"/>
      <c r="D228" s="16">
        <v>300</v>
      </c>
      <c r="E228" s="10">
        <f t="shared" ref="E228:E291" si="12">D228/90*100</f>
        <v>333.33333333333337</v>
      </c>
    </row>
    <row r="229" ht="21">
      <c r="A229" s="4" t="s">
        <v>199</v>
      </c>
      <c r="B229" s="9">
        <v>90</v>
      </c>
      <c r="C229" s="9"/>
      <c r="D229" s="17">
        <v>335.55555555555554</v>
      </c>
      <c r="E229" s="10">
        <f t="shared" si="12"/>
        <v>372.83950617283949</v>
      </c>
    </row>
    <row r="230" ht="21">
      <c r="A230" s="4" t="s">
        <v>200</v>
      </c>
      <c r="B230" s="9">
        <v>45</v>
      </c>
      <c r="C230" s="9"/>
      <c r="D230" s="17">
        <v>186.66666666666666</v>
      </c>
      <c r="E230" s="10">
        <f t="shared" si="12"/>
        <v>207.40740740740739</v>
      </c>
    </row>
    <row r="231" ht="21">
      <c r="A231" s="4" t="s">
        <v>201</v>
      </c>
      <c r="B231" s="9">
        <v>35</v>
      </c>
      <c r="C231" s="9"/>
      <c r="D231" s="17">
        <v>426.66666666666669</v>
      </c>
      <c r="E231" s="10">
        <f t="shared" si="12"/>
        <v>474.07407407407413</v>
      </c>
    </row>
    <row r="232" ht="21">
      <c r="A232" s="4" t="s">
        <v>202</v>
      </c>
      <c r="B232" s="9">
        <v>60</v>
      </c>
      <c r="C232" s="9"/>
      <c r="D232" s="16">
        <v>660</v>
      </c>
      <c r="E232" s="10">
        <f t="shared" si="12"/>
        <v>733.33333333333326</v>
      </c>
    </row>
    <row r="233" ht="21">
      <c r="A233" s="4" t="s">
        <v>203</v>
      </c>
      <c r="B233" s="9">
        <v>30</v>
      </c>
      <c r="C233" s="9"/>
      <c r="D233" s="16">
        <v>300</v>
      </c>
      <c r="E233" s="10">
        <f t="shared" si="12"/>
        <v>333.33333333333337</v>
      </c>
    </row>
    <row r="234" ht="21">
      <c r="A234" s="4" t="s">
        <v>204</v>
      </c>
      <c r="B234" s="9">
        <v>60</v>
      </c>
      <c r="C234" s="9"/>
      <c r="D234" s="17">
        <v>553.33333333333337</v>
      </c>
      <c r="E234" s="10">
        <f t="shared" si="12"/>
        <v>614.81481481481489</v>
      </c>
    </row>
    <row r="235" ht="21">
      <c r="A235" s="4" t="s">
        <v>205</v>
      </c>
      <c r="B235" s="9">
        <v>50</v>
      </c>
      <c r="C235" s="9"/>
      <c r="D235" s="16">
        <v>240</v>
      </c>
      <c r="E235" s="10">
        <f t="shared" si="12"/>
        <v>266.66666666666663</v>
      </c>
    </row>
    <row r="236" ht="21">
      <c r="A236" s="4" t="s">
        <v>206</v>
      </c>
      <c r="B236" s="9">
        <v>180</v>
      </c>
      <c r="C236" s="9"/>
      <c r="D236" s="17">
        <v>446.66666666666669</v>
      </c>
      <c r="E236" s="10">
        <f t="shared" si="12"/>
        <v>496.2962962962963</v>
      </c>
    </row>
    <row r="237" ht="21">
      <c r="A237" s="4" t="s">
        <v>207</v>
      </c>
      <c r="B237" s="9">
        <v>120</v>
      </c>
      <c r="C237" s="9"/>
      <c r="D237" s="16">
        <v>840</v>
      </c>
      <c r="E237" s="10">
        <f t="shared" si="12"/>
        <v>933.33333333333337</v>
      </c>
    </row>
    <row r="238" ht="21">
      <c r="A238" s="4" t="s">
        <v>208</v>
      </c>
      <c r="B238" s="9">
        <v>80</v>
      </c>
      <c r="C238" s="9"/>
      <c r="D238" s="16">
        <v>500</v>
      </c>
      <c r="E238" s="10">
        <f t="shared" si="12"/>
        <v>555.55555555555554</v>
      </c>
    </row>
    <row r="239" ht="21">
      <c r="A239" s="4" t="s">
        <v>208</v>
      </c>
      <c r="B239" s="9">
        <v>40</v>
      </c>
      <c r="C239" s="9"/>
      <c r="D239" s="16">
        <v>280</v>
      </c>
      <c r="E239" s="10">
        <f t="shared" si="12"/>
        <v>311.11111111111114</v>
      </c>
    </row>
    <row r="240" ht="21">
      <c r="A240" s="4" t="s">
        <v>209</v>
      </c>
      <c r="B240" s="9">
        <v>40</v>
      </c>
      <c r="C240" s="9"/>
      <c r="D240" s="17">
        <v>213.33333333333334</v>
      </c>
      <c r="E240" s="10">
        <f t="shared" si="12"/>
        <v>237.03703703703707</v>
      </c>
    </row>
    <row r="241" ht="21">
      <c r="A241" s="4" t="s">
        <v>210</v>
      </c>
      <c r="B241" s="9">
        <v>30</v>
      </c>
      <c r="C241" s="9"/>
      <c r="D241" s="17">
        <v>133.33333333333331</v>
      </c>
      <c r="E241" s="10">
        <f t="shared" si="12"/>
        <v>148.14814814814812</v>
      </c>
    </row>
    <row r="242" ht="34">
      <c r="A242" s="4" t="s">
        <v>211</v>
      </c>
      <c r="B242" s="9">
        <v>80</v>
      </c>
      <c r="C242" s="9"/>
      <c r="D242" s="16">
        <v>280</v>
      </c>
      <c r="E242" s="10">
        <f t="shared" si="12"/>
        <v>311.11111111111114</v>
      </c>
    </row>
    <row r="243" ht="21">
      <c r="A243" s="4" t="s">
        <v>212</v>
      </c>
      <c r="B243" s="9">
        <v>60</v>
      </c>
      <c r="C243" s="9"/>
      <c r="D243" s="17">
        <v>426.66666666666669</v>
      </c>
      <c r="E243" s="10">
        <f t="shared" si="12"/>
        <v>474.07407407407413</v>
      </c>
    </row>
    <row r="244" ht="21">
      <c r="A244" s="4" t="s">
        <v>213</v>
      </c>
      <c r="B244" s="9">
        <v>100</v>
      </c>
      <c r="C244" s="9"/>
      <c r="D244" s="17">
        <v>411.11111111111109</v>
      </c>
      <c r="E244" s="10">
        <f t="shared" si="12"/>
        <v>456.79012345679013</v>
      </c>
    </row>
    <row r="245">
      <c r="A245" s="4"/>
      <c r="B245" s="3"/>
      <c r="C245" s="3"/>
      <c r="D245" s="3"/>
    </row>
    <row r="246" ht="25">
      <c r="A246" s="8" t="s">
        <v>214</v>
      </c>
      <c r="B246" s="3"/>
      <c r="C246" s="3"/>
      <c r="D246" s="3"/>
    </row>
    <row r="247" ht="21">
      <c r="A247" s="4" t="s">
        <v>215</v>
      </c>
      <c r="B247" s="9">
        <v>150</v>
      </c>
      <c r="C247" s="9"/>
      <c r="D247" s="16">
        <v>280</v>
      </c>
      <c r="E247" s="10">
        <f t="shared" si="12"/>
        <v>311.11111111111114</v>
      </c>
    </row>
    <row r="248" ht="21">
      <c r="A248" s="4" t="s">
        <v>216</v>
      </c>
      <c r="B248" s="9">
        <v>100</v>
      </c>
      <c r="C248" s="9"/>
      <c r="D248" s="16">
        <v>220.00000000000003</v>
      </c>
      <c r="E248" s="10">
        <f t="shared" si="12"/>
        <v>244.44444444444446</v>
      </c>
    </row>
    <row r="249" ht="21">
      <c r="A249" s="4" t="s">
        <v>217</v>
      </c>
      <c r="B249" s="9">
        <v>150</v>
      </c>
      <c r="C249" s="9"/>
      <c r="D249" s="17">
        <v>433.33333333333331</v>
      </c>
      <c r="E249" s="10">
        <f t="shared" si="12"/>
        <v>481.48148148148147</v>
      </c>
    </row>
    <row r="250" ht="21">
      <c r="A250" s="4" t="s">
        <v>218</v>
      </c>
      <c r="B250" s="9">
        <v>150</v>
      </c>
      <c r="C250" s="9"/>
      <c r="D250" s="17">
        <v>313.33333333333331</v>
      </c>
      <c r="E250" s="10">
        <f t="shared" si="12"/>
        <v>348.14814814814815</v>
      </c>
    </row>
    <row r="251" ht="21">
      <c r="A251" s="4" t="s">
        <v>208</v>
      </c>
      <c r="B251" s="9">
        <v>80</v>
      </c>
      <c r="C251" s="9"/>
      <c r="D251" s="16">
        <v>420</v>
      </c>
      <c r="E251" s="10">
        <f t="shared" si="12"/>
        <v>466.66666666666669</v>
      </c>
    </row>
    <row r="252" ht="21">
      <c r="A252" s="4" t="s">
        <v>219</v>
      </c>
      <c r="B252" s="9">
        <v>120</v>
      </c>
      <c r="C252" s="9"/>
      <c r="D252" s="17">
        <v>335.55555555555554</v>
      </c>
      <c r="E252" s="10">
        <f t="shared" si="12"/>
        <v>372.83950617283949</v>
      </c>
    </row>
    <row r="253" ht="21">
      <c r="A253" s="4" t="s">
        <v>220</v>
      </c>
      <c r="B253" s="9">
        <v>50</v>
      </c>
      <c r="C253" s="9"/>
      <c r="D253" s="17">
        <v>186.66666666666666</v>
      </c>
      <c r="E253" s="10">
        <f t="shared" si="12"/>
        <v>207.40740740740739</v>
      </c>
    </row>
    <row r="254" ht="21">
      <c r="A254" s="4" t="s">
        <v>221</v>
      </c>
      <c r="B254" s="9">
        <v>35</v>
      </c>
      <c r="C254" s="9"/>
      <c r="D254" s="17">
        <v>266.66666666666663</v>
      </c>
      <c r="E254" s="10">
        <f t="shared" si="12"/>
        <v>296.29629629629625</v>
      </c>
    </row>
    <row r="255" ht="21">
      <c r="A255" s="4" t="s">
        <v>222</v>
      </c>
      <c r="B255" s="9">
        <v>100</v>
      </c>
      <c r="C255" s="9"/>
      <c r="D255" s="16">
        <v>300</v>
      </c>
      <c r="E255" s="10">
        <f t="shared" si="12"/>
        <v>333.33333333333337</v>
      </c>
    </row>
    <row r="256" ht="21">
      <c r="A256" s="4" t="s">
        <v>223</v>
      </c>
      <c r="B256" s="9">
        <v>60</v>
      </c>
      <c r="C256" s="9"/>
      <c r="D256" s="16">
        <v>220.00000000000003</v>
      </c>
      <c r="E256" s="10">
        <f t="shared" si="12"/>
        <v>244.44444444444446</v>
      </c>
    </row>
    <row r="257" ht="21">
      <c r="A257" s="4" t="s">
        <v>224</v>
      </c>
      <c r="B257" s="9">
        <v>100</v>
      </c>
      <c r="C257" s="9"/>
      <c r="D257" s="16">
        <v>280</v>
      </c>
      <c r="E257" s="10">
        <f t="shared" si="12"/>
        <v>311.11111111111114</v>
      </c>
    </row>
    <row r="258" ht="21">
      <c r="A258" s="4" t="s">
        <v>225</v>
      </c>
      <c r="B258" s="9">
        <v>180</v>
      </c>
      <c r="C258" s="9"/>
      <c r="D258" s="16">
        <v>220.00000000000003</v>
      </c>
      <c r="E258" s="10">
        <f t="shared" si="12"/>
        <v>244.44444444444446</v>
      </c>
    </row>
    <row r="259" ht="21">
      <c r="A259" s="4" t="s">
        <v>216</v>
      </c>
      <c r="B259" s="9">
        <v>120</v>
      </c>
      <c r="C259" s="9"/>
      <c r="D259" s="17">
        <v>326.66666666666669</v>
      </c>
      <c r="E259" s="10">
        <f t="shared" si="12"/>
        <v>362.96296296296299</v>
      </c>
    </row>
    <row r="260" ht="21">
      <c r="A260" s="4" t="s">
        <v>206</v>
      </c>
      <c r="B260" s="9">
        <v>130</v>
      </c>
      <c r="C260" s="9"/>
      <c r="D260" s="17">
        <v>373.33333333333331</v>
      </c>
      <c r="E260" s="10">
        <f t="shared" si="12"/>
        <v>414.81481481481478</v>
      </c>
    </row>
    <row r="261" ht="21">
      <c r="A261" s="4" t="s">
        <v>226</v>
      </c>
      <c r="B261" s="9">
        <v>100</v>
      </c>
      <c r="C261" s="9"/>
      <c r="D261" s="17">
        <v>186.66666666666666</v>
      </c>
      <c r="E261" s="10">
        <f t="shared" si="12"/>
        <v>207.40740740740739</v>
      </c>
    </row>
    <row r="262">
      <c r="A262" s="4"/>
      <c r="B262" s="3"/>
      <c r="C262" s="3"/>
      <c r="D262" s="3"/>
    </row>
    <row r="263" ht="25">
      <c r="A263" s="8" t="s">
        <v>227</v>
      </c>
      <c r="B263" s="3"/>
      <c r="C263" s="3"/>
      <c r="D263" s="3"/>
    </row>
    <row r="264" ht="21">
      <c r="A264" s="4" t="s">
        <v>228</v>
      </c>
      <c r="B264" s="9">
        <v>220</v>
      </c>
      <c r="C264" s="9"/>
      <c r="D264" s="17">
        <v>1326.6666666666667</v>
      </c>
      <c r="E264" s="10">
        <f t="shared" si="12"/>
        <v>1474.0740740740741</v>
      </c>
    </row>
    <row r="265" ht="21">
      <c r="A265" s="4" t="s">
        <v>229</v>
      </c>
      <c r="B265" s="9">
        <v>240</v>
      </c>
      <c r="C265" s="9"/>
      <c r="D265" s="16">
        <v>1800</v>
      </c>
      <c r="E265" s="10">
        <f t="shared" si="12"/>
        <v>2000</v>
      </c>
    </row>
    <row r="266" ht="34">
      <c r="A266" s="4" t="s">
        <v>393</v>
      </c>
      <c r="B266" s="9">
        <v>210</v>
      </c>
      <c r="C266" s="9"/>
      <c r="D266" s="17">
        <v>727.77777777777771</v>
      </c>
      <c r="E266" s="10">
        <f t="shared" si="12"/>
        <v>808.64197530864192</v>
      </c>
    </row>
    <row r="267" ht="34">
      <c r="A267" s="4" t="s">
        <v>231</v>
      </c>
      <c r="B267" s="9">
        <v>220</v>
      </c>
      <c r="C267" s="9"/>
      <c r="D267" s="16">
        <v>1140</v>
      </c>
      <c r="E267" s="10">
        <f t="shared" si="12"/>
        <v>1266.6666666666665</v>
      </c>
    </row>
    <row r="268" ht="34">
      <c r="A268" s="4" t="s">
        <v>232</v>
      </c>
      <c r="B268" s="9">
        <v>220</v>
      </c>
      <c r="C268" s="9"/>
      <c r="D268" s="17">
        <v>1173.3333333333333</v>
      </c>
      <c r="E268" s="10">
        <f t="shared" si="12"/>
        <v>1303.7037037037037</v>
      </c>
    </row>
    <row r="269" ht="21">
      <c r="A269" s="4" t="s">
        <v>233</v>
      </c>
      <c r="B269" s="9">
        <v>240</v>
      </c>
      <c r="C269" s="9"/>
      <c r="D269" s="17">
        <v>1513.3333333333333</v>
      </c>
      <c r="E269" s="10">
        <f t="shared" si="12"/>
        <v>1681.4814814814813</v>
      </c>
    </row>
    <row r="270" ht="21">
      <c r="A270" s="4" t="s">
        <v>234</v>
      </c>
      <c r="B270" s="9">
        <v>280</v>
      </c>
      <c r="C270" s="9"/>
      <c r="D270" s="16">
        <v>1260</v>
      </c>
      <c r="E270" s="10">
        <f t="shared" si="12"/>
        <v>1400</v>
      </c>
    </row>
    <row r="271" ht="34">
      <c r="A271" s="4" t="s">
        <v>235</v>
      </c>
      <c r="B271" s="9">
        <v>280</v>
      </c>
      <c r="C271" s="9"/>
      <c r="D271" s="16">
        <v>1260</v>
      </c>
      <c r="E271" s="10">
        <f t="shared" si="12"/>
        <v>1400</v>
      </c>
    </row>
    <row r="272" ht="21">
      <c r="A272" s="4" t="s">
        <v>236</v>
      </c>
      <c r="B272" s="9">
        <v>220</v>
      </c>
      <c r="C272" s="9"/>
      <c r="D272" s="17">
        <v>1113.3333333333333</v>
      </c>
      <c r="E272" s="10">
        <f t="shared" si="12"/>
        <v>1237.037037037037</v>
      </c>
    </row>
    <row r="273" ht="21">
      <c r="A273" s="4" t="s">
        <v>237</v>
      </c>
      <c r="B273" s="9">
        <v>180</v>
      </c>
      <c r="C273" s="9"/>
      <c r="D273" s="16">
        <v>780</v>
      </c>
      <c r="E273" s="10">
        <f t="shared" si="12"/>
        <v>866.66666666666663</v>
      </c>
    </row>
    <row r="274" ht="34">
      <c r="A274" s="4" t="s">
        <v>238</v>
      </c>
      <c r="B274" s="9">
        <v>280</v>
      </c>
      <c r="C274" s="9"/>
      <c r="D274" s="17">
        <v>1233.3333333333335</v>
      </c>
      <c r="E274" s="10">
        <f t="shared" si="12"/>
        <v>1370.3703703703707</v>
      </c>
    </row>
    <row r="275" ht="34">
      <c r="A275" s="4" t="s">
        <v>239</v>
      </c>
      <c r="B275" s="9">
        <v>220</v>
      </c>
      <c r="C275" s="9"/>
      <c r="D275" s="17">
        <v>1046.6666666666667</v>
      </c>
      <c r="E275" s="10">
        <f t="shared" si="12"/>
        <v>1162.962962962963</v>
      </c>
    </row>
    <row r="276" ht="34">
      <c r="A276" s="4" t="s">
        <v>240</v>
      </c>
      <c r="B276" s="9">
        <v>320</v>
      </c>
      <c r="C276" s="9"/>
      <c r="D276" s="17">
        <v>1026.6666666666667</v>
      </c>
      <c r="E276" s="10">
        <f t="shared" si="12"/>
        <v>1140.7407407407409</v>
      </c>
    </row>
    <row r="277" ht="34">
      <c r="A277" s="4" t="s">
        <v>241</v>
      </c>
      <c r="B277" s="9">
        <v>320</v>
      </c>
      <c r="C277" s="9"/>
      <c r="D277" s="17">
        <v>466.66666666666669</v>
      </c>
      <c r="E277" s="10">
        <f t="shared" si="12"/>
        <v>518.51851851851848</v>
      </c>
    </row>
    <row r="278" ht="21">
      <c r="A278" s="4" t="s">
        <v>242</v>
      </c>
      <c r="B278" s="9">
        <v>150</v>
      </c>
      <c r="C278" s="9"/>
      <c r="D278" s="17">
        <v>346.66666666666669</v>
      </c>
      <c r="E278" s="10">
        <f t="shared" si="12"/>
        <v>385.18518518518522</v>
      </c>
    </row>
    <row r="279" ht="21">
      <c r="A279" s="4" t="s">
        <v>243</v>
      </c>
      <c r="B279" s="9">
        <v>150</v>
      </c>
      <c r="C279" s="9"/>
      <c r="D279" s="17">
        <v>346.66666666666669</v>
      </c>
      <c r="E279" s="10">
        <f t="shared" si="12"/>
        <v>385.18518518518522</v>
      </c>
    </row>
    <row r="280">
      <c r="A280" s="4"/>
      <c r="B280" s="3"/>
      <c r="C280" s="3"/>
      <c r="D280" s="3"/>
    </row>
    <row r="281" ht="25">
      <c r="A281" s="8" t="s">
        <v>244</v>
      </c>
      <c r="B281" s="3"/>
      <c r="C281" s="3"/>
      <c r="D281" s="3"/>
    </row>
    <row r="282" ht="21">
      <c r="A282" s="4" t="s">
        <v>245</v>
      </c>
      <c r="B282" s="9">
        <v>220</v>
      </c>
      <c r="C282" s="9"/>
      <c r="D282" s="17">
        <v>2666.666666666667</v>
      </c>
      <c r="E282" s="10">
        <f t="shared" si="12"/>
        <v>2962.9629629629635</v>
      </c>
    </row>
    <row r="283" ht="21">
      <c r="A283" s="4" t="s">
        <v>246</v>
      </c>
      <c r="B283" s="9">
        <v>220</v>
      </c>
      <c r="C283" s="9"/>
      <c r="D283" s="16">
        <v>600</v>
      </c>
      <c r="E283" s="10">
        <f t="shared" si="12"/>
        <v>666.66666666666674</v>
      </c>
    </row>
    <row r="284" ht="21">
      <c r="A284" s="4" t="s">
        <v>247</v>
      </c>
      <c r="B284" s="9">
        <v>220</v>
      </c>
      <c r="C284" s="9"/>
      <c r="D284" s="16">
        <v>919.99999999999989</v>
      </c>
      <c r="E284" s="10">
        <f t="shared" si="12"/>
        <v>1022.2222222222222</v>
      </c>
    </row>
    <row r="285" ht="21">
      <c r="A285" s="4" t="s">
        <v>248</v>
      </c>
      <c r="B285" s="9">
        <v>220</v>
      </c>
      <c r="C285" s="9"/>
      <c r="D285" s="17">
        <v>466.66666666666669</v>
      </c>
      <c r="E285" s="10">
        <f t="shared" si="12"/>
        <v>518.51851851851848</v>
      </c>
    </row>
    <row r="286" ht="34">
      <c r="A286" s="4" t="s">
        <v>249</v>
      </c>
      <c r="B286" s="9">
        <v>230</v>
      </c>
      <c r="C286" s="9"/>
      <c r="D286" s="16">
        <v>660</v>
      </c>
      <c r="E286" s="10">
        <f t="shared" si="12"/>
        <v>733.33333333333326</v>
      </c>
    </row>
    <row r="287" ht="34">
      <c r="A287" s="4" t="s">
        <v>250</v>
      </c>
      <c r="B287" s="9">
        <v>230</v>
      </c>
      <c r="C287" s="9"/>
      <c r="D287" s="17">
        <v>813.33333333333326</v>
      </c>
      <c r="E287" s="10">
        <f t="shared" si="12"/>
        <v>903.70370370370358</v>
      </c>
    </row>
    <row r="288" ht="21">
      <c r="A288" s="4" t="s">
        <v>251</v>
      </c>
      <c r="B288" s="9">
        <v>280</v>
      </c>
      <c r="C288" s="9"/>
      <c r="D288" s="17">
        <v>726.66666666666663</v>
      </c>
      <c r="E288" s="10">
        <f t="shared" si="12"/>
        <v>807.40740740740739</v>
      </c>
    </row>
    <row r="289" ht="21">
      <c r="A289" s="4" t="s">
        <v>252</v>
      </c>
      <c r="B289" s="9">
        <v>250</v>
      </c>
      <c r="C289" s="9"/>
      <c r="D289" s="17">
        <v>713.33333333333337</v>
      </c>
      <c r="E289" s="10">
        <f t="shared" si="12"/>
        <v>792.59259259259261</v>
      </c>
    </row>
    <row r="290" ht="21">
      <c r="A290" s="4" t="s">
        <v>253</v>
      </c>
      <c r="B290" s="9">
        <v>220</v>
      </c>
      <c r="C290" s="9"/>
      <c r="D290" s="17">
        <v>853.33333333333337</v>
      </c>
      <c r="E290" s="10">
        <f t="shared" si="12"/>
        <v>948.14814814814827</v>
      </c>
    </row>
    <row r="291" ht="21">
      <c r="A291" s="4" t="s">
        <v>254</v>
      </c>
      <c r="B291" s="9">
        <v>180</v>
      </c>
      <c r="C291" s="9"/>
      <c r="D291" s="17">
        <v>893.33333333333337</v>
      </c>
      <c r="E291" s="10">
        <f t="shared" si="12"/>
        <v>992.59259259259261</v>
      </c>
    </row>
    <row r="292" ht="68">
      <c r="A292" s="4" t="s">
        <v>255</v>
      </c>
      <c r="B292" s="9">
        <v>300</v>
      </c>
      <c r="C292" s="9"/>
      <c r="D292" s="17">
        <v>1586.6666666666667</v>
      </c>
      <c r="E292" s="10">
        <f t="shared" ref="E292:E355" si="13">D292/90*100</f>
        <v>1762.962962962963</v>
      </c>
    </row>
    <row r="293" ht="21">
      <c r="A293" s="4" t="s">
        <v>256</v>
      </c>
      <c r="B293" s="9">
        <v>180</v>
      </c>
      <c r="C293" s="9"/>
      <c r="D293" s="16">
        <v>880.00000000000011</v>
      </c>
      <c r="E293" s="10">
        <f t="shared" si="13"/>
        <v>977.77777777777783</v>
      </c>
    </row>
    <row r="294" ht="21">
      <c r="A294" s="4" t="s">
        <v>257</v>
      </c>
      <c r="B294" s="9">
        <v>130</v>
      </c>
      <c r="C294" s="9"/>
      <c r="D294" s="16">
        <v>560</v>
      </c>
      <c r="E294" s="10">
        <f t="shared" si="13"/>
        <v>622.22222222222229</v>
      </c>
    </row>
    <row r="295">
      <c r="A295" s="4"/>
      <c r="B295" s="3"/>
      <c r="C295" s="3"/>
      <c r="D295" s="3"/>
    </row>
    <row r="296" ht="25">
      <c r="A296" s="8" t="s">
        <v>258</v>
      </c>
      <c r="B296" s="3"/>
      <c r="C296" s="3"/>
      <c r="D296" s="3"/>
    </row>
    <row r="297" ht="21">
      <c r="A297" s="4" t="s">
        <v>259</v>
      </c>
      <c r="B297" s="9">
        <v>155</v>
      </c>
      <c r="C297" s="9"/>
      <c r="D297" s="17">
        <v>973.33333333333326</v>
      </c>
      <c r="E297" s="10">
        <f t="shared" si="13"/>
        <v>1081.4814814814813</v>
      </c>
    </row>
    <row r="298" ht="21">
      <c r="A298" s="4" t="s">
        <v>260</v>
      </c>
      <c r="B298" s="9">
        <v>100</v>
      </c>
      <c r="C298" s="9"/>
      <c r="D298" s="16">
        <v>360</v>
      </c>
      <c r="E298" s="10">
        <f t="shared" si="13"/>
        <v>400</v>
      </c>
    </row>
    <row r="299" ht="21">
      <c r="A299" s="4" t="s">
        <v>261</v>
      </c>
      <c r="B299" s="9">
        <v>100</v>
      </c>
      <c r="C299" s="9"/>
      <c r="D299" s="16">
        <v>280</v>
      </c>
      <c r="E299" s="10">
        <f t="shared" si="13"/>
        <v>311.11111111111114</v>
      </c>
    </row>
    <row r="300" ht="21">
      <c r="A300" s="4" t="s">
        <v>262</v>
      </c>
      <c r="B300" s="9">
        <v>350</v>
      </c>
      <c r="C300" s="9"/>
      <c r="D300" s="17">
        <v>1086.6666666666667</v>
      </c>
      <c r="E300" s="10">
        <f t="shared" si="13"/>
        <v>1207.4074074074074</v>
      </c>
    </row>
    <row r="301" ht="21">
      <c r="A301" s="4" t="s">
        <v>263</v>
      </c>
      <c r="B301" s="9">
        <v>100</v>
      </c>
      <c r="C301" s="9"/>
      <c r="D301" s="17">
        <v>713.33333333333337</v>
      </c>
      <c r="E301" s="10">
        <f t="shared" si="13"/>
        <v>792.59259259259261</v>
      </c>
    </row>
    <row r="302" ht="21">
      <c r="A302" s="4" t="s">
        <v>264</v>
      </c>
      <c r="B302" s="9">
        <v>120</v>
      </c>
      <c r="C302" s="9"/>
      <c r="D302" s="17">
        <v>373.33333333333331</v>
      </c>
      <c r="E302" s="10">
        <f t="shared" si="13"/>
        <v>414.81481481481478</v>
      </c>
    </row>
    <row r="303" ht="21">
      <c r="A303" s="4" t="s">
        <v>265</v>
      </c>
      <c r="B303" s="9">
        <v>100</v>
      </c>
      <c r="C303" s="9"/>
      <c r="D303" s="17">
        <v>653.33333333333337</v>
      </c>
      <c r="E303" s="10">
        <f t="shared" si="13"/>
        <v>725.92592592592598</v>
      </c>
    </row>
    <row r="304" ht="21">
      <c r="A304" s="4" t="s">
        <v>224</v>
      </c>
      <c r="B304" s="9">
        <v>100</v>
      </c>
      <c r="C304" s="9"/>
      <c r="D304" s="17">
        <v>226.66666666666666</v>
      </c>
      <c r="E304" s="10">
        <f t="shared" si="13"/>
        <v>251.85185185185185</v>
      </c>
    </row>
    <row r="305" ht="21">
      <c r="A305" s="4" t="s">
        <v>266</v>
      </c>
      <c r="B305" s="9">
        <v>300</v>
      </c>
      <c r="C305" s="9"/>
      <c r="D305" s="17">
        <v>713.33333333333337</v>
      </c>
      <c r="E305" s="10">
        <f t="shared" si="13"/>
        <v>792.59259259259261</v>
      </c>
    </row>
    <row r="306" ht="21">
      <c r="A306" s="4" t="s">
        <v>267</v>
      </c>
      <c r="B306" s="9">
        <v>150</v>
      </c>
      <c r="C306" s="9"/>
      <c r="D306" s="17">
        <v>853.33333333333337</v>
      </c>
      <c r="E306" s="10">
        <f t="shared" si="13"/>
        <v>948.14814814814827</v>
      </c>
    </row>
    <row r="307" ht="34">
      <c r="A307" s="4" t="s">
        <v>268</v>
      </c>
      <c r="B307" s="9">
        <v>320</v>
      </c>
      <c r="C307" s="9"/>
      <c r="D307" s="17">
        <v>786.66666666666663</v>
      </c>
      <c r="E307" s="10">
        <f t="shared" si="13"/>
        <v>874.07407407407402</v>
      </c>
    </row>
    <row r="308">
      <c r="A308" s="4"/>
      <c r="B308" s="3"/>
      <c r="C308" s="3"/>
      <c r="D308" s="3"/>
    </row>
    <row r="309" ht="25">
      <c r="A309" s="8" t="s">
        <v>269</v>
      </c>
      <c r="B309" s="3"/>
      <c r="C309" s="3"/>
      <c r="D309" s="3"/>
    </row>
    <row r="310" ht="21">
      <c r="A310" s="4" t="s">
        <v>270</v>
      </c>
      <c r="B310" s="9">
        <v>100</v>
      </c>
      <c r="C310" s="9"/>
      <c r="D310" s="17">
        <v>466.66666666666669</v>
      </c>
      <c r="E310" s="10">
        <f t="shared" si="13"/>
        <v>518.51851851851848</v>
      </c>
    </row>
    <row r="311" ht="21">
      <c r="A311" s="4" t="s">
        <v>271</v>
      </c>
      <c r="B311" s="9">
        <v>50</v>
      </c>
      <c r="C311" s="9"/>
      <c r="D311" s="16">
        <v>200</v>
      </c>
      <c r="E311" s="10">
        <f t="shared" si="13"/>
        <v>222.22222222222223</v>
      </c>
    </row>
    <row r="312" ht="21">
      <c r="A312" s="4" t="s">
        <v>272</v>
      </c>
      <c r="B312" s="9">
        <v>50</v>
      </c>
      <c r="C312" s="9"/>
      <c r="D312" s="16">
        <v>280</v>
      </c>
      <c r="E312" s="10">
        <f t="shared" si="13"/>
        <v>311.11111111111114</v>
      </c>
    </row>
    <row r="313">
      <c r="A313" s="4"/>
      <c r="B313" s="3"/>
      <c r="C313" s="3"/>
      <c r="D313" s="3"/>
    </row>
    <row r="314" ht="25">
      <c r="A314" s="8" t="s">
        <v>273</v>
      </c>
      <c r="B314" s="3"/>
      <c r="C314" s="3"/>
      <c r="D314" s="3"/>
    </row>
    <row r="315" ht="21">
      <c r="A315" s="4" t="s">
        <v>274</v>
      </c>
      <c r="B315" s="9">
        <v>100</v>
      </c>
      <c r="C315" s="9"/>
      <c r="D315" s="17">
        <v>206.66666666666669</v>
      </c>
      <c r="E315" s="10">
        <f t="shared" si="13"/>
        <v>229.62962962962968</v>
      </c>
    </row>
    <row r="316" ht="21">
      <c r="A316" s="4" t="s">
        <v>275</v>
      </c>
      <c r="B316" s="9">
        <v>100</v>
      </c>
      <c r="C316" s="9"/>
      <c r="D316" s="16">
        <v>280</v>
      </c>
      <c r="E316" s="10">
        <f t="shared" si="13"/>
        <v>311.11111111111114</v>
      </c>
    </row>
    <row r="317" ht="21">
      <c r="A317" s="4" t="s">
        <v>276</v>
      </c>
      <c r="B317" s="9">
        <v>330</v>
      </c>
      <c r="C317" s="9"/>
      <c r="D317" s="16">
        <v>420</v>
      </c>
      <c r="E317" s="10">
        <f t="shared" si="13"/>
        <v>466.66666666666669</v>
      </c>
    </row>
    <row r="318" ht="21">
      <c r="A318" s="4" t="s">
        <v>277</v>
      </c>
      <c r="B318" s="9">
        <v>330</v>
      </c>
      <c r="C318" s="9"/>
      <c r="D318" s="17">
        <v>335.55555555555554</v>
      </c>
      <c r="E318" s="10">
        <f t="shared" si="13"/>
        <v>372.83950617283949</v>
      </c>
    </row>
    <row r="319">
      <c r="A319" s="4"/>
      <c r="B319" s="3"/>
      <c r="C319" s="3"/>
      <c r="D319" s="3"/>
    </row>
    <row r="320" ht="25">
      <c r="A320" s="8" t="s">
        <v>278</v>
      </c>
      <c r="B320" s="3"/>
      <c r="C320" s="3"/>
      <c r="D320" s="3"/>
    </row>
    <row r="321" ht="51">
      <c r="A321" s="4" t="s">
        <v>279</v>
      </c>
      <c r="B321" s="9">
        <v>330</v>
      </c>
      <c r="C321" s="9"/>
      <c r="D321" s="17">
        <v>1113.3333333333333</v>
      </c>
      <c r="E321" s="10">
        <f t="shared" si="13"/>
        <v>1237.037037037037</v>
      </c>
    </row>
    <row r="322" ht="21">
      <c r="A322" s="4" t="s">
        <v>280</v>
      </c>
      <c r="B322" s="9">
        <v>330</v>
      </c>
      <c r="C322" s="9"/>
      <c r="D322" s="16">
        <v>980.00000000000011</v>
      </c>
      <c r="E322" s="10">
        <f t="shared" si="13"/>
        <v>1088.8888888888889</v>
      </c>
    </row>
    <row r="323" ht="34">
      <c r="A323" s="4" t="s">
        <v>281</v>
      </c>
      <c r="B323" s="9">
        <v>330</v>
      </c>
      <c r="C323" s="9"/>
      <c r="D323" s="17">
        <v>926.66666666666674</v>
      </c>
      <c r="E323" s="10">
        <f t="shared" si="13"/>
        <v>1029.6296296296298</v>
      </c>
    </row>
    <row r="324" ht="34">
      <c r="A324" s="4" t="s">
        <v>282</v>
      </c>
      <c r="B324" s="9">
        <v>330</v>
      </c>
      <c r="C324" s="9"/>
      <c r="D324" s="17">
        <v>833.33333333333337</v>
      </c>
      <c r="E324" s="10">
        <f t="shared" si="13"/>
        <v>925.92592592592598</v>
      </c>
    </row>
    <row r="325" ht="34">
      <c r="A325" s="4" t="s">
        <v>283</v>
      </c>
      <c r="B325" s="9">
        <v>330</v>
      </c>
      <c r="C325" s="9"/>
      <c r="D325" s="17">
        <v>773.33333333333337</v>
      </c>
      <c r="E325" s="10">
        <f t="shared" si="13"/>
        <v>859.25925925925935</v>
      </c>
    </row>
    <row r="326" ht="34">
      <c r="A326" s="4" t="s">
        <v>284</v>
      </c>
      <c r="B326" s="9">
        <v>330</v>
      </c>
      <c r="C326" s="9"/>
      <c r="D326" s="17">
        <v>813.33333333333326</v>
      </c>
      <c r="E326" s="10">
        <f t="shared" si="13"/>
        <v>903.70370370370358</v>
      </c>
    </row>
    <row r="327" ht="34">
      <c r="A327" s="4" t="s">
        <v>285</v>
      </c>
      <c r="B327" s="9">
        <v>330</v>
      </c>
      <c r="C327" s="9"/>
      <c r="D327" s="16">
        <v>760</v>
      </c>
      <c r="E327" s="10">
        <f t="shared" si="13"/>
        <v>844.44444444444446</v>
      </c>
    </row>
    <row r="328" ht="21">
      <c r="A328" s="4" t="s">
        <v>286</v>
      </c>
      <c r="B328" s="9">
        <v>330</v>
      </c>
      <c r="C328" s="9"/>
      <c r="D328" s="17">
        <v>833.33333333333337</v>
      </c>
      <c r="E328" s="10">
        <f t="shared" si="13"/>
        <v>925.92592592592598</v>
      </c>
    </row>
    <row r="329" ht="34">
      <c r="A329" s="4" t="s">
        <v>287</v>
      </c>
      <c r="B329" s="9">
        <v>330</v>
      </c>
      <c r="C329" s="9"/>
      <c r="D329" s="17">
        <v>726.66666666666663</v>
      </c>
      <c r="E329" s="10">
        <f t="shared" si="13"/>
        <v>807.40740740740739</v>
      </c>
    </row>
    <row r="330" ht="34">
      <c r="A330" s="4" t="s">
        <v>288</v>
      </c>
      <c r="B330" s="9">
        <v>330</v>
      </c>
      <c r="C330" s="9"/>
      <c r="D330" s="16">
        <v>1000</v>
      </c>
      <c r="E330" s="10">
        <f t="shared" si="13"/>
        <v>1111.1111111111111</v>
      </c>
    </row>
    <row r="331" ht="34">
      <c r="A331" s="4" t="s">
        <v>289</v>
      </c>
      <c r="B331" s="9">
        <v>330</v>
      </c>
      <c r="C331" s="9"/>
      <c r="D331" s="17">
        <v>813.33333333333326</v>
      </c>
      <c r="E331" s="10">
        <f t="shared" si="13"/>
        <v>903.70370370370358</v>
      </c>
    </row>
    <row r="332">
      <c r="A332" s="4"/>
      <c r="B332" s="3"/>
      <c r="C332" s="3"/>
      <c r="D332" s="3"/>
    </row>
    <row r="333" ht="25">
      <c r="A333" s="8" t="s">
        <v>290</v>
      </c>
      <c r="B333" s="3"/>
      <c r="C333" s="3"/>
      <c r="D333" s="3"/>
    </row>
    <row r="334" ht="21">
      <c r="A334" s="4" t="s">
        <v>291</v>
      </c>
      <c r="B334" s="9">
        <v>40</v>
      </c>
      <c r="C334" s="9"/>
      <c r="D334" s="16">
        <v>180</v>
      </c>
      <c r="E334" s="10">
        <f t="shared" si="13"/>
        <v>200</v>
      </c>
    </row>
    <row r="335" ht="21">
      <c r="A335" s="4" t="s">
        <v>292</v>
      </c>
      <c r="B335" s="9">
        <v>50</v>
      </c>
      <c r="C335" s="9"/>
      <c r="D335" s="17">
        <v>186.66666666666666</v>
      </c>
      <c r="E335" s="10">
        <f t="shared" si="13"/>
        <v>207.40740740740739</v>
      </c>
    </row>
    <row r="336" ht="21">
      <c r="A336" s="4" t="s">
        <v>293</v>
      </c>
      <c r="B336" s="9">
        <v>40</v>
      </c>
      <c r="C336" s="9"/>
      <c r="D336" s="17">
        <v>173.33333333333334</v>
      </c>
      <c r="E336" s="10">
        <f t="shared" si="13"/>
        <v>192.59259259259261</v>
      </c>
    </row>
    <row r="337" ht="21">
      <c r="A337" s="4" t="s">
        <v>294</v>
      </c>
      <c r="B337" s="9">
        <v>40</v>
      </c>
      <c r="C337" s="9"/>
      <c r="D337" s="17">
        <v>173.33333333333334</v>
      </c>
      <c r="E337" s="10">
        <f t="shared" si="13"/>
        <v>192.59259259259261</v>
      </c>
    </row>
    <row r="338" ht="21">
      <c r="A338" s="4" t="s">
        <v>295</v>
      </c>
      <c r="B338" s="9">
        <v>40</v>
      </c>
      <c r="C338" s="9"/>
      <c r="D338" s="17">
        <v>173.33333333333334</v>
      </c>
      <c r="E338" s="10">
        <f t="shared" si="13"/>
        <v>192.59259259259261</v>
      </c>
    </row>
    <row r="339" ht="21">
      <c r="A339" s="4" t="s">
        <v>296</v>
      </c>
      <c r="B339" s="9">
        <v>40</v>
      </c>
      <c r="C339" s="9"/>
      <c r="D339" s="17">
        <v>186.66666666666666</v>
      </c>
      <c r="E339" s="10">
        <f t="shared" si="13"/>
        <v>207.40740740740739</v>
      </c>
    </row>
    <row r="340" ht="21">
      <c r="A340" s="4" t="s">
        <v>297</v>
      </c>
      <c r="B340" s="9">
        <v>40</v>
      </c>
      <c r="C340" s="9"/>
      <c r="D340" s="17">
        <v>186.66666666666666</v>
      </c>
      <c r="E340" s="10">
        <f t="shared" si="13"/>
        <v>207.40740740740739</v>
      </c>
    </row>
    <row r="341" ht="21">
      <c r="A341" s="4" t="s">
        <v>298</v>
      </c>
      <c r="B341" s="9">
        <v>25</v>
      </c>
      <c r="C341" s="9"/>
      <c r="D341" s="17">
        <v>113.33333333333333</v>
      </c>
      <c r="E341" s="10">
        <f t="shared" si="13"/>
        <v>125.92592592592592</v>
      </c>
    </row>
    <row r="342" ht="21">
      <c r="A342" s="4" t="s">
        <v>299</v>
      </c>
      <c r="B342" s="9">
        <v>25</v>
      </c>
      <c r="C342" s="9"/>
      <c r="D342" s="16">
        <v>100</v>
      </c>
      <c r="E342" s="10">
        <f t="shared" si="13"/>
        <v>111.11111111111111</v>
      </c>
    </row>
    <row r="343" ht="21">
      <c r="A343" s="4" t="s">
        <v>300</v>
      </c>
      <c r="B343" s="9">
        <v>50</v>
      </c>
      <c r="C343" s="9"/>
      <c r="D343" s="17">
        <v>226.66666666666666</v>
      </c>
      <c r="E343" s="10">
        <f t="shared" si="13"/>
        <v>251.85185185185185</v>
      </c>
    </row>
    <row r="344" ht="21">
      <c r="A344" s="4" t="s">
        <v>301</v>
      </c>
      <c r="B344" s="9">
        <v>50</v>
      </c>
      <c r="C344" s="9"/>
      <c r="D344" s="17">
        <v>186.66666666666666</v>
      </c>
      <c r="E344" s="10">
        <f t="shared" si="13"/>
        <v>207.40740740740739</v>
      </c>
    </row>
    <row r="345" ht="21">
      <c r="A345" s="4" t="s">
        <v>302</v>
      </c>
      <c r="B345" s="9">
        <v>50</v>
      </c>
      <c r="C345" s="9"/>
      <c r="D345" s="17">
        <v>113.33333333333333</v>
      </c>
      <c r="E345" s="10">
        <f t="shared" si="13"/>
        <v>125.92592592592592</v>
      </c>
    </row>
    <row r="346" ht="21">
      <c r="A346" s="4" t="s">
        <v>303</v>
      </c>
      <c r="B346" s="9">
        <v>50</v>
      </c>
      <c r="C346" s="9"/>
      <c r="D346" s="16">
        <v>140</v>
      </c>
      <c r="E346" s="10">
        <f t="shared" si="13"/>
        <v>155.55555555555557</v>
      </c>
    </row>
    <row r="347" ht="21">
      <c r="A347" s="4" t="s">
        <v>304</v>
      </c>
      <c r="B347" s="9">
        <v>50</v>
      </c>
      <c r="C347" s="9"/>
      <c r="D347" s="17">
        <v>166.66666666666669</v>
      </c>
      <c r="E347" s="10">
        <f t="shared" si="13"/>
        <v>185.18518518518522</v>
      </c>
    </row>
    <row r="348" ht="21">
      <c r="A348" s="4" t="s">
        <v>305</v>
      </c>
      <c r="B348" s="9">
        <v>50</v>
      </c>
      <c r="C348" s="9"/>
      <c r="D348" s="17">
        <v>206.66666666666669</v>
      </c>
      <c r="E348" s="10">
        <f t="shared" si="13"/>
        <v>229.62962962962968</v>
      </c>
    </row>
    <row r="349" ht="21">
      <c r="A349" s="4" t="s">
        <v>306</v>
      </c>
      <c r="B349" s="9">
        <v>50</v>
      </c>
      <c r="C349" s="9"/>
      <c r="D349" s="17">
        <v>226.66666666666666</v>
      </c>
      <c r="E349" s="10">
        <f t="shared" si="13"/>
        <v>251.85185185185185</v>
      </c>
    </row>
    <row r="350" ht="17">
      <c r="A350" s="4" t="s">
        <v>307</v>
      </c>
      <c r="B350" s="9">
        <v>1</v>
      </c>
      <c r="C350" s="9"/>
      <c r="D350" s="3"/>
    </row>
    <row r="351" ht="25">
      <c r="A351" s="8" t="s">
        <v>308</v>
      </c>
      <c r="B351" s="3"/>
      <c r="C351" s="3"/>
      <c r="D351" s="3"/>
    </row>
    <row r="352" ht="21">
      <c r="A352" s="4" t="s">
        <v>309</v>
      </c>
      <c r="B352" s="9">
        <v>130</v>
      </c>
      <c r="C352" s="9"/>
      <c r="D352" s="17">
        <v>693.33333333333337</v>
      </c>
      <c r="E352" s="10">
        <f t="shared" si="13"/>
        <v>770.37037037037044</v>
      </c>
    </row>
    <row r="353" ht="25">
      <c r="A353" s="8" t="s">
        <v>310</v>
      </c>
      <c r="B353" s="3"/>
      <c r="C353" s="3"/>
      <c r="D353" s="3"/>
    </row>
    <row r="354" ht="21">
      <c r="A354" s="4" t="s">
        <v>311</v>
      </c>
      <c r="B354" s="9">
        <v>40</v>
      </c>
      <c r="C354" s="9"/>
      <c r="D354" s="17">
        <v>166.66666666666669</v>
      </c>
      <c r="E354" s="10">
        <f t="shared" si="13"/>
        <v>185.18518518518522</v>
      </c>
    </row>
    <row r="355" ht="21">
      <c r="A355" s="4" t="s">
        <v>312</v>
      </c>
      <c r="B355" s="9">
        <v>40</v>
      </c>
      <c r="C355" s="9"/>
      <c r="D355" s="17">
        <v>186.66666666666666</v>
      </c>
      <c r="E355" s="10">
        <f t="shared" si="13"/>
        <v>207.40740740740739</v>
      </c>
    </row>
    <row r="356" ht="21">
      <c r="A356" s="4" t="s">
        <v>313</v>
      </c>
      <c r="B356" s="9">
        <v>40</v>
      </c>
      <c r="C356" s="9"/>
      <c r="D356" s="17">
        <v>166.66666666666669</v>
      </c>
      <c r="E356" s="10">
        <f t="shared" ref="E356:E419" si="14">D356/90*100</f>
        <v>185.18518518518522</v>
      </c>
    </row>
    <row r="357" ht="21">
      <c r="A357" s="4" t="s">
        <v>314</v>
      </c>
      <c r="B357" s="9">
        <v>50</v>
      </c>
      <c r="C357" s="9"/>
      <c r="D357" s="17">
        <v>335.55555555555554</v>
      </c>
      <c r="E357" s="10">
        <f t="shared" si="14"/>
        <v>372.83950617283949</v>
      </c>
    </row>
    <row r="358" ht="21">
      <c r="A358" s="4" t="s">
        <v>315</v>
      </c>
      <c r="B358" s="9">
        <v>50</v>
      </c>
      <c r="C358" s="9"/>
      <c r="D358" s="16">
        <v>220.00000000000003</v>
      </c>
      <c r="E358" s="10">
        <f t="shared" si="14"/>
        <v>244.44444444444446</v>
      </c>
    </row>
    <row r="359" ht="21">
      <c r="A359" s="4" t="s">
        <v>316</v>
      </c>
      <c r="B359" s="9">
        <v>50</v>
      </c>
      <c r="C359" s="9"/>
      <c r="D359" s="16">
        <v>220.00000000000003</v>
      </c>
      <c r="E359" s="10">
        <f t="shared" si="14"/>
        <v>244.44444444444446</v>
      </c>
    </row>
    <row r="360" ht="34">
      <c r="A360" s="4" t="s">
        <v>317</v>
      </c>
      <c r="B360" s="9">
        <v>50</v>
      </c>
      <c r="C360" s="9"/>
      <c r="D360" s="16">
        <v>280</v>
      </c>
      <c r="E360" s="10">
        <f t="shared" si="14"/>
        <v>311.11111111111114</v>
      </c>
    </row>
    <row r="361" ht="21">
      <c r="A361" s="4" t="s">
        <v>318</v>
      </c>
      <c r="B361" s="9">
        <v>50</v>
      </c>
      <c r="C361" s="9"/>
      <c r="D361" s="17">
        <v>246.66666666666669</v>
      </c>
      <c r="E361" s="10">
        <f t="shared" si="14"/>
        <v>274.07407407407408</v>
      </c>
    </row>
    <row r="362" ht="21">
      <c r="A362" s="4" t="s">
        <v>319</v>
      </c>
      <c r="B362" s="9">
        <v>35</v>
      </c>
      <c r="C362" s="9"/>
      <c r="D362" s="17">
        <v>186.66666666666666</v>
      </c>
      <c r="E362" s="10">
        <f t="shared" si="14"/>
        <v>207.40740740740739</v>
      </c>
    </row>
    <row r="363" ht="21">
      <c r="A363" s="4" t="s">
        <v>320</v>
      </c>
      <c r="B363" s="9">
        <v>35</v>
      </c>
      <c r="C363" s="9"/>
      <c r="D363" s="17">
        <v>246.66666666666669</v>
      </c>
      <c r="E363" s="10">
        <f t="shared" si="14"/>
        <v>274.07407407407408</v>
      </c>
    </row>
    <row r="364" ht="21">
      <c r="A364" s="4" t="s">
        <v>321</v>
      </c>
      <c r="B364" s="9">
        <v>30</v>
      </c>
      <c r="C364" s="9"/>
      <c r="D364" s="16">
        <v>120</v>
      </c>
      <c r="E364" s="10">
        <f t="shared" si="14"/>
        <v>133.33333333333331</v>
      </c>
    </row>
    <row r="365" ht="21">
      <c r="A365" s="4" t="s">
        <v>322</v>
      </c>
      <c r="B365" s="9">
        <v>350</v>
      </c>
      <c r="C365" s="9"/>
      <c r="D365" s="16">
        <v>2520</v>
      </c>
      <c r="E365" s="10">
        <f t="shared" si="14"/>
        <v>2800</v>
      </c>
    </row>
    <row r="366" ht="21">
      <c r="A366" s="4" t="s">
        <v>323</v>
      </c>
      <c r="B366" s="9">
        <v>60</v>
      </c>
      <c r="C366" s="9"/>
      <c r="D366" s="17">
        <v>466.66666666666669</v>
      </c>
      <c r="E366" s="10">
        <f t="shared" si="14"/>
        <v>518.51851851851848</v>
      </c>
    </row>
    <row r="367" ht="21">
      <c r="A367" s="4" t="s">
        <v>324</v>
      </c>
      <c r="B367" s="9">
        <v>120</v>
      </c>
      <c r="C367" s="9"/>
      <c r="D367" s="17">
        <v>486.66666666666663</v>
      </c>
      <c r="E367" s="10">
        <f t="shared" si="14"/>
        <v>540.74074074074065</v>
      </c>
    </row>
    <row r="368" ht="21">
      <c r="A368" s="4" t="s">
        <v>325</v>
      </c>
      <c r="B368" s="9">
        <v>60</v>
      </c>
      <c r="C368" s="9"/>
      <c r="D368" s="17">
        <v>413.33333333333337</v>
      </c>
      <c r="E368" s="10">
        <f t="shared" si="14"/>
        <v>459.25925925925935</v>
      </c>
    </row>
    <row r="369" ht="34">
      <c r="A369" s="4" t="s">
        <v>326</v>
      </c>
      <c r="B369" s="9">
        <v>1000</v>
      </c>
      <c r="C369" s="9"/>
      <c r="D369" s="16">
        <v>2600</v>
      </c>
      <c r="E369" s="10">
        <f t="shared" si="14"/>
        <v>2888.8888888888891</v>
      </c>
    </row>
    <row r="370" ht="25">
      <c r="A370" s="8" t="s">
        <v>327</v>
      </c>
      <c r="B370" s="3"/>
      <c r="C370" s="3"/>
      <c r="D370" s="3"/>
    </row>
    <row r="371" ht="21">
      <c r="A371" s="13" t="s">
        <v>328</v>
      </c>
      <c r="B371" s="3"/>
      <c r="C371" s="3"/>
      <c r="D371" s="17">
        <v>3333.3333333333335</v>
      </c>
      <c r="E371" s="10">
        <f t="shared" si="14"/>
        <v>3703.7037037037039</v>
      </c>
    </row>
    <row r="372" ht="17">
      <c r="A372" s="4" t="s">
        <v>329</v>
      </c>
      <c r="B372" s="3"/>
      <c r="C372" s="3"/>
      <c r="D372" s="3"/>
    </row>
    <row r="373" ht="17">
      <c r="A373" s="4" t="s">
        <v>330</v>
      </c>
      <c r="B373" s="3"/>
      <c r="C373" s="3"/>
      <c r="D373" s="3"/>
    </row>
    <row r="374" ht="17">
      <c r="A374" s="4" t="s">
        <v>331</v>
      </c>
      <c r="B374" s="3"/>
      <c r="C374" s="3"/>
      <c r="D374" s="3"/>
    </row>
    <row r="375" ht="17">
      <c r="A375" s="4" t="s">
        <v>332</v>
      </c>
      <c r="B375" s="3"/>
      <c r="C375" s="3"/>
      <c r="D375" s="3"/>
    </row>
    <row r="376" ht="17">
      <c r="A376" s="4" t="s">
        <v>333</v>
      </c>
      <c r="B376" s="3"/>
      <c r="C376" s="3"/>
      <c r="D376" s="3"/>
    </row>
    <row r="377" ht="17">
      <c r="A377" s="4" t="s">
        <v>334</v>
      </c>
      <c r="B377" s="3"/>
      <c r="C377" s="3"/>
      <c r="D377" s="3"/>
    </row>
    <row r="378" ht="17">
      <c r="A378" s="4" t="s">
        <v>335</v>
      </c>
      <c r="B378" s="3"/>
      <c r="C378" s="3"/>
      <c r="D378" s="3"/>
    </row>
    <row r="379" ht="17">
      <c r="A379" s="4" t="s">
        <v>336</v>
      </c>
      <c r="B379" s="3"/>
      <c r="C379" s="3"/>
      <c r="D379" s="3"/>
    </row>
    <row r="380" ht="17">
      <c r="A380" s="4" t="s">
        <v>337</v>
      </c>
      <c r="B380" s="3"/>
      <c r="C380" s="3"/>
      <c r="D380" s="3"/>
    </row>
    <row r="381" ht="17">
      <c r="A381" s="4" t="s">
        <v>315</v>
      </c>
      <c r="B381" s="3"/>
      <c r="C381" s="3"/>
      <c r="D381" s="3"/>
    </row>
    <row r="382" ht="17">
      <c r="A382" s="4" t="s">
        <v>338</v>
      </c>
      <c r="B382" s="3"/>
      <c r="C382" s="3"/>
      <c r="D382" s="3"/>
    </row>
    <row r="383" ht="17">
      <c r="A383" s="4" t="s">
        <v>339</v>
      </c>
      <c r="B383" s="3"/>
      <c r="C383" s="3"/>
      <c r="D383" s="3"/>
    </row>
    <row r="384" ht="17">
      <c r="A384" s="4" t="s">
        <v>340</v>
      </c>
      <c r="B384" s="3"/>
      <c r="C384" s="3"/>
      <c r="D384" s="3"/>
    </row>
    <row r="385" ht="17">
      <c r="A385" s="13" t="s">
        <v>341</v>
      </c>
      <c r="B385" s="3"/>
      <c r="C385" s="3"/>
      <c r="D385" s="3"/>
    </row>
    <row r="386" ht="17">
      <c r="A386" s="4" t="s">
        <v>342</v>
      </c>
      <c r="B386" s="3"/>
      <c r="C386" s="3"/>
      <c r="D386" s="3"/>
    </row>
    <row r="387" ht="17">
      <c r="A387" s="4" t="s">
        <v>343</v>
      </c>
      <c r="B387" s="3"/>
      <c r="C387" s="3"/>
      <c r="D387" s="3"/>
    </row>
    <row r="388" ht="17">
      <c r="A388" s="4" t="s">
        <v>344</v>
      </c>
      <c r="B388" s="3"/>
      <c r="C388" s="3"/>
      <c r="D388" s="3"/>
    </row>
    <row r="389" ht="17">
      <c r="A389" s="4" t="s">
        <v>345</v>
      </c>
      <c r="B389" s="3"/>
      <c r="C389" s="3"/>
      <c r="D389" s="3"/>
    </row>
    <row r="390" ht="17">
      <c r="A390" s="4" t="s">
        <v>346</v>
      </c>
      <c r="B390" s="3"/>
      <c r="C390" s="3"/>
      <c r="D390" s="3"/>
    </row>
    <row r="391" ht="17">
      <c r="A391" s="4" t="s">
        <v>330</v>
      </c>
      <c r="B391" s="3"/>
      <c r="C391" s="3"/>
      <c r="D391" s="3"/>
    </row>
    <row r="392" ht="17">
      <c r="A392" s="4" t="s">
        <v>347</v>
      </c>
      <c r="B392" s="3"/>
      <c r="C392" s="3"/>
      <c r="D392" s="3"/>
    </row>
    <row r="393" ht="17">
      <c r="A393" s="4" t="s">
        <v>348</v>
      </c>
      <c r="B393" s="3"/>
      <c r="C393" s="3"/>
      <c r="D393" s="3"/>
    </row>
    <row r="394" ht="17">
      <c r="A394" s="4" t="s">
        <v>349</v>
      </c>
      <c r="B394" s="3"/>
      <c r="C394" s="3"/>
      <c r="D394" s="3"/>
    </row>
    <row r="395" ht="17">
      <c r="A395" s="4" t="s">
        <v>350</v>
      </c>
      <c r="B395" s="3"/>
      <c r="C395" s="3"/>
      <c r="D395" s="3"/>
    </row>
    <row r="396" ht="17">
      <c r="A396" s="13" t="s">
        <v>351</v>
      </c>
      <c r="B396" s="3"/>
      <c r="C396" s="3"/>
      <c r="D396" s="3"/>
    </row>
    <row r="397" ht="18.75">
      <c r="A397" s="4" t="s">
        <v>352</v>
      </c>
      <c r="B397" s="9">
        <v>150</v>
      </c>
      <c r="C397" s="9"/>
      <c r="D397" s="17">
        <v>933.33333333333337</v>
      </c>
      <c r="E397" s="10">
        <f t="shared" si="14"/>
        <v>1037.037037037037</v>
      </c>
    </row>
    <row r="398" ht="18.75">
      <c r="A398" s="4" t="s">
        <v>353</v>
      </c>
      <c r="B398" s="9">
        <v>200</v>
      </c>
      <c r="C398" s="9"/>
      <c r="D398" s="17">
        <v>933.33333333333337</v>
      </c>
      <c r="E398" s="10">
        <f t="shared" si="14"/>
        <v>1037.037037037037</v>
      </c>
    </row>
    <row r="399" ht="18.75">
      <c r="A399" s="4" t="s">
        <v>354</v>
      </c>
      <c r="B399" s="9">
        <v>200</v>
      </c>
      <c r="C399" s="9"/>
      <c r="D399" s="17">
        <v>1866.6666666666667</v>
      </c>
      <c r="E399" s="10">
        <f t="shared" si="14"/>
        <v>2074.0740740740739</v>
      </c>
    </row>
    <row r="400" ht="18.75">
      <c r="A400" s="4" t="s">
        <v>355</v>
      </c>
      <c r="B400" s="9">
        <v>1</v>
      </c>
      <c r="C400" s="9"/>
      <c r="D400" s="17">
        <v>1866.6666666666667</v>
      </c>
      <c r="E400" s="10">
        <f t="shared" si="14"/>
        <v>2074.0740740740739</v>
      </c>
    </row>
    <row r="401" ht="18.75">
      <c r="A401" s="4" t="s">
        <v>356</v>
      </c>
      <c r="B401" s="9">
        <v>1</v>
      </c>
      <c r="C401" s="9"/>
      <c r="D401" s="17">
        <v>1866.6666666666667</v>
      </c>
      <c r="E401" s="10">
        <f t="shared" si="14"/>
        <v>2074.0740740740739</v>
      </c>
    </row>
    <row r="402" ht="18.75">
      <c r="A402" s="4" t="s">
        <v>357</v>
      </c>
      <c r="B402" s="9">
        <v>1</v>
      </c>
      <c r="C402" s="9"/>
      <c r="D402" s="17">
        <v>1866.6666666666667</v>
      </c>
      <c r="E402" s="10">
        <f t="shared" si="14"/>
        <v>2074.0740740740739</v>
      </c>
    </row>
    <row r="403" ht="18.75">
      <c r="A403" s="4" t="s">
        <v>358</v>
      </c>
      <c r="B403" s="9">
        <v>1</v>
      </c>
      <c r="C403" s="9"/>
      <c r="D403" s="17">
        <v>933.33333333333337</v>
      </c>
      <c r="E403" s="10">
        <f t="shared" si="14"/>
        <v>1037.037037037037</v>
      </c>
    </row>
    <row r="404">
      <c r="A404" s="4"/>
      <c r="B404" s="3"/>
      <c r="C404" s="3"/>
      <c r="D404" s="3"/>
    </row>
    <row r="405" ht="23.25">
      <c r="A405" s="8" t="s">
        <v>359</v>
      </c>
      <c r="B405" s="3"/>
      <c r="C405" s="3"/>
      <c r="D405" s="3"/>
    </row>
    <row r="406" ht="18.75">
      <c r="A406" s="4" t="s">
        <v>360</v>
      </c>
      <c r="B406" s="9">
        <v>250</v>
      </c>
      <c r="C406" s="9"/>
      <c r="D406" s="17">
        <v>372.22222222222223</v>
      </c>
      <c r="E406" s="10">
        <f t="shared" si="14"/>
        <v>413.5802469135802</v>
      </c>
    </row>
    <row r="407" ht="18.75">
      <c r="A407" s="4" t="s">
        <v>361</v>
      </c>
      <c r="B407" s="9">
        <v>250</v>
      </c>
      <c r="C407" s="9"/>
      <c r="D407" s="17">
        <v>555.55555555555554</v>
      </c>
      <c r="E407" s="10">
        <f t="shared" si="14"/>
        <v>617.28395061728395</v>
      </c>
    </row>
    <row r="408" ht="18.75">
      <c r="A408" s="4" t="s">
        <v>362</v>
      </c>
      <c r="B408" s="9">
        <v>250</v>
      </c>
      <c r="C408" s="9"/>
      <c r="D408" s="17">
        <v>555.55555555555554</v>
      </c>
      <c r="E408" s="10">
        <f t="shared" si="14"/>
        <v>617.28395061728395</v>
      </c>
    </row>
    <row r="409" ht="18.75">
      <c r="A409" s="4" t="s">
        <v>363</v>
      </c>
      <c r="B409" s="9">
        <v>250</v>
      </c>
      <c r="C409" s="9"/>
      <c r="D409" s="16">
        <v>750</v>
      </c>
      <c r="E409" s="10">
        <f t="shared" si="14"/>
        <v>833.33333333333337</v>
      </c>
    </row>
    <row r="410" ht="18.75">
      <c r="A410" s="4" t="s">
        <v>364</v>
      </c>
      <c r="B410" s="9">
        <v>150</v>
      </c>
      <c r="C410" s="9"/>
      <c r="D410" s="17">
        <v>466.66666666666669</v>
      </c>
      <c r="E410" s="10">
        <f t="shared" si="14"/>
        <v>518.51851851851848</v>
      </c>
    </row>
    <row r="411">
      <c r="A411" s="4"/>
      <c r="B411" s="3"/>
      <c r="C411" s="3"/>
      <c r="D411" s="3"/>
    </row>
    <row r="412" ht="23.25">
      <c r="A412" s="8" t="s">
        <v>365</v>
      </c>
      <c r="B412" s="3"/>
      <c r="C412" s="3"/>
      <c r="D412" s="3"/>
    </row>
    <row r="413" ht="18.75">
      <c r="A413" s="4" t="s">
        <v>366</v>
      </c>
      <c r="B413" s="9">
        <v>500</v>
      </c>
      <c r="C413" s="9"/>
      <c r="D413" s="17">
        <v>133.33333333333331</v>
      </c>
      <c r="E413" s="10">
        <f t="shared" si="14"/>
        <v>148.14814814814812</v>
      </c>
    </row>
    <row r="414" ht="18.75">
      <c r="A414" s="4" t="s">
        <v>366</v>
      </c>
      <c r="B414" s="9">
        <v>330</v>
      </c>
      <c r="C414" s="9"/>
      <c r="D414" s="17">
        <v>94.444444444444443</v>
      </c>
      <c r="E414" s="10">
        <f t="shared" si="14"/>
        <v>104.93827160493827</v>
      </c>
    </row>
    <row r="415" ht="18.75">
      <c r="A415" s="4" t="s">
        <v>367</v>
      </c>
      <c r="B415" s="9">
        <v>500</v>
      </c>
      <c r="C415" s="9"/>
      <c r="D415" s="17">
        <v>186.66666666666666</v>
      </c>
      <c r="E415" s="10">
        <f t="shared" si="14"/>
        <v>207.40740740740739</v>
      </c>
    </row>
    <row r="416" ht="18.75">
      <c r="A416" s="4" t="s">
        <v>367</v>
      </c>
      <c r="B416" s="9">
        <v>330</v>
      </c>
      <c r="C416" s="9"/>
      <c r="D416" s="17">
        <v>155.55555555555557</v>
      </c>
      <c r="E416" s="10">
        <f t="shared" si="14"/>
        <v>172.83950617283952</v>
      </c>
    </row>
    <row r="417" ht="33">
      <c r="A417" s="4" t="s">
        <v>368</v>
      </c>
      <c r="B417" s="9">
        <v>1000</v>
      </c>
      <c r="C417" s="9"/>
      <c r="D417" s="17">
        <v>1011.1111111111111</v>
      </c>
      <c r="E417" s="10">
        <f t="shared" si="14"/>
        <v>1123.4567901234568</v>
      </c>
    </row>
    <row r="418" ht="18.75">
      <c r="A418" s="4" t="s">
        <v>369</v>
      </c>
      <c r="B418" s="9">
        <v>1000</v>
      </c>
      <c r="C418" s="9"/>
      <c r="D418" s="17">
        <v>855.55555555555554</v>
      </c>
      <c r="E418" s="10">
        <f t="shared" si="14"/>
        <v>950.61728395061721</v>
      </c>
    </row>
    <row r="419" ht="18.75">
      <c r="A419" s="4" t="s">
        <v>370</v>
      </c>
      <c r="B419" s="9">
        <v>1000</v>
      </c>
      <c r="C419" s="9"/>
      <c r="D419" s="17">
        <v>855.55555555555554</v>
      </c>
      <c r="E419" s="10">
        <f t="shared" si="14"/>
        <v>950.61728395061721</v>
      </c>
    </row>
    <row r="420" ht="18.75">
      <c r="A420" s="4" t="s">
        <v>371</v>
      </c>
      <c r="B420" s="9">
        <v>330</v>
      </c>
      <c r="C420" s="9"/>
      <c r="D420" s="17">
        <v>27.777777777777779</v>
      </c>
      <c r="E420" s="10">
        <f t="shared" ref="E420:E429" si="15">D420/90*100</f>
        <v>30.864197530864196</v>
      </c>
    </row>
    <row r="421" ht="18.75">
      <c r="A421" s="4" t="s">
        <v>371</v>
      </c>
      <c r="B421" s="9">
        <v>250</v>
      </c>
      <c r="C421" s="9"/>
      <c r="D421" s="17">
        <v>188.88888888888889</v>
      </c>
      <c r="E421" s="10">
        <f t="shared" si="15"/>
        <v>209.87654320987653</v>
      </c>
    </row>
    <row r="422" ht="18.75">
      <c r="A422" s="4" t="s">
        <v>372</v>
      </c>
      <c r="B422" s="9">
        <v>330</v>
      </c>
      <c r="C422" s="9"/>
      <c r="D422" s="16">
        <v>250</v>
      </c>
      <c r="E422" s="10">
        <f t="shared" si="15"/>
        <v>277.77777777777777</v>
      </c>
    </row>
    <row r="423" ht="18.75">
      <c r="A423" s="4" t="s">
        <v>372</v>
      </c>
      <c r="B423" s="9">
        <v>250</v>
      </c>
      <c r="C423" s="9"/>
      <c r="D423" s="17">
        <v>194.44444444444443</v>
      </c>
      <c r="E423" s="10">
        <f t="shared" si="15"/>
        <v>216.04938271604937</v>
      </c>
    </row>
    <row r="424" ht="18.75">
      <c r="A424" s="4" t="s">
        <v>373</v>
      </c>
      <c r="B424" s="9">
        <v>1000</v>
      </c>
      <c r="C424" s="9"/>
      <c r="D424" s="17">
        <v>1555.5555555555554</v>
      </c>
      <c r="E424" s="10">
        <f t="shared" si="15"/>
        <v>1728.3950617283949</v>
      </c>
    </row>
    <row r="425">
      <c r="A425" s="4"/>
      <c r="B425" s="3"/>
      <c r="C425" s="3"/>
      <c r="D425" s="3"/>
    </row>
    <row r="426" ht="23.25">
      <c r="A426" s="8" t="s">
        <v>374</v>
      </c>
      <c r="B426" s="3"/>
      <c r="C426" s="3"/>
      <c r="D426" s="3"/>
    </row>
    <row r="427" ht="18.75">
      <c r="A427" s="4" t="s">
        <v>375</v>
      </c>
      <c r="B427" s="9">
        <v>220</v>
      </c>
      <c r="C427" s="9"/>
      <c r="D427" s="17">
        <v>127.77777777777777</v>
      </c>
      <c r="E427" s="10">
        <f t="shared" si="15"/>
        <v>141.97530864197529</v>
      </c>
    </row>
    <row r="428" ht="18.75">
      <c r="A428" s="4" t="s">
        <v>376</v>
      </c>
      <c r="B428" s="9">
        <v>220</v>
      </c>
      <c r="C428" s="9"/>
      <c r="D428" s="16">
        <v>280</v>
      </c>
      <c r="E428" s="10">
        <f t="shared" si="15"/>
        <v>311.11111111111114</v>
      </c>
    </row>
    <row r="429" ht="18.75">
      <c r="A429" s="4" t="s">
        <v>377</v>
      </c>
      <c r="B429" s="9">
        <v>220</v>
      </c>
      <c r="C429" s="9"/>
      <c r="D429" s="17">
        <v>177.77777777777777</v>
      </c>
      <c r="E429" s="10">
        <f t="shared" si="15"/>
        <v>197.53086419753086</v>
      </c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 ht="17">
      <c r="A432" s="15" t="s">
        <v>378</v>
      </c>
      <c r="B432" s="3"/>
      <c r="C432" s="3"/>
      <c r="D432" s="3"/>
    </row>
    <row r="433" ht="17">
      <c r="A433" s="15" t="s">
        <v>379</v>
      </c>
      <c r="B433" s="3"/>
      <c r="C433" s="3"/>
      <c r="D433" s="3"/>
    </row>
    <row r="434">
      <c r="A434" s="4"/>
      <c r="B434" s="3"/>
      <c r="C434" s="3"/>
      <c r="D434" s="3"/>
    </row>
    <row r="435" ht="17">
      <c r="A435" s="15" t="s">
        <v>380</v>
      </c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 ht="17">
      <c r="A438" s="15" t="s">
        <v>381</v>
      </c>
      <c r="B438" s="3"/>
      <c r="C438" s="3"/>
      <c r="D438" s="3"/>
    </row>
    <row r="439">
      <c r="A439" s="4"/>
      <c r="B439" s="3"/>
      <c r="C439" s="3"/>
      <c r="D439" s="3"/>
    </row>
    <row r="440" ht="17">
      <c r="A440" s="12" t="s">
        <v>382</v>
      </c>
      <c r="B440" s="3"/>
      <c r="C440" s="3"/>
      <c r="D440" s="3"/>
    </row>
    <row r="441" ht="17">
      <c r="A441" s="12" t="s">
        <v>383</v>
      </c>
      <c r="B441" s="3"/>
      <c r="C441" s="3"/>
      <c r="D441" s="3"/>
    </row>
    <row r="442" ht="17">
      <c r="A442" s="12" t="s">
        <v>384</v>
      </c>
      <c r="B442" s="3"/>
      <c r="C442" s="3"/>
      <c r="D442" s="3"/>
    </row>
    <row r="443" ht="17">
      <c r="A443" s="15" t="s">
        <v>385</v>
      </c>
      <c r="B443" s="3"/>
      <c r="C443" s="3"/>
      <c r="D443" s="3"/>
    </row>
    <row r="444" ht="17">
      <c r="A444" s="15" t="s">
        <v>386</v>
      </c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 ht="17">
      <c r="A447" s="15" t="s">
        <v>387</v>
      </c>
      <c r="B447" s="3"/>
      <c r="C447" s="3"/>
      <c r="D447" s="3"/>
    </row>
    <row r="448">
      <c r="A448" s="4"/>
      <c r="B448" s="3"/>
      <c r="C448" s="3"/>
      <c r="D448" s="3"/>
    </row>
    <row r="449" ht="17">
      <c r="A449" s="15" t="s">
        <v>388</v>
      </c>
      <c r="B449" s="3"/>
      <c r="C449" s="3"/>
      <c r="D449" s="3"/>
    </row>
    <row r="450" ht="17">
      <c r="A450" s="15" t="s">
        <v>389</v>
      </c>
      <c r="B450" s="3"/>
      <c r="C450" s="3"/>
      <c r="D450" s="3"/>
    </row>
    <row r="451" ht="17">
      <c r="A451" s="15" t="s">
        <v>390</v>
      </c>
      <c r="B451" s="3"/>
      <c r="C451" s="3"/>
      <c r="D451" s="2"/>
    </row>
    <row r="452">
      <c r="A452" s="4"/>
      <c r="B452" s="3"/>
      <c r="C452" s="3"/>
      <c r="D452" s="2"/>
    </row>
    <row r="453">
      <c r="A453" s="4"/>
      <c r="B453" s="3"/>
      <c r="C453" s="3"/>
      <c r="D453" s="2"/>
    </row>
  </sheetData>
  <mergeCells count="2">
    <mergeCell ref="B2:B3"/>
    <mergeCell ref="D2:D3"/>
  </mergeCells>
  <printOptions headings="0" gridLines="0"/>
  <pageMargins left="0.70099999999999985" right="0.70099999999999985" top="0.75200000000000011" bottom="0.75200000000000011" header="0.29999999999999999" footer="0.29999999999999999"/>
  <pageSetup paperSize="9" scale="93" fitToWidth="1" fitToHeight="0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Smirnova</dc:creator>
  <cp:lastModifiedBy>Екатерина Григорова</cp:lastModifiedBy>
  <cp:revision>26</cp:revision>
  <dcterms:created xsi:type="dcterms:W3CDTF">2017-08-04T15:29:35Z</dcterms:created>
  <dcterms:modified xsi:type="dcterms:W3CDTF">2026-02-10T11:55:58Z</dcterms:modified>
</cp:coreProperties>
</file>